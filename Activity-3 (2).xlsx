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3.xml.rels" ContentType="application/vnd.openxmlformats-package.relationships+xml"/>
  <Override PartName="/xl/worksheets/_rels/sheet4.xml.rels" ContentType="application/vnd.openxmlformats-package.relationships+xml"/>
  <Override PartName="/xl/worksheets/_rels/sheet10.xml.rels" ContentType="application/vnd.openxmlformats-package.relationships+xml"/>
  <Override PartName="/xl/worksheets/_rels/sheet12.xml.rels" ContentType="application/vnd.openxmlformats-package.relationships+xml"/>
  <Override PartName="/xl/worksheets/_rels/sheet6.xml.rels" ContentType="application/vnd.openxmlformats-package.relationships+xml"/>
  <Override PartName="/xl/worksheets/_rels/sheet7.xml.rels" ContentType="application/vnd.openxmlformats-package.relationships+xml"/>
  <Override PartName="/xl/worksheets/_rels/sheet13.xml.rels" ContentType="application/vnd.openxmlformats-package.relationships+xml"/>
  <Override PartName="/xl/worksheets/_rels/sheet8.xml.rels" ContentType="application/vnd.openxmlformats-package.relationships+xml"/>
  <Override PartName="/xl/worksheets/_rels/sheet9.xml.rels" ContentType="application/vnd.openxmlformats-package.relationships+xml"/>
  <Override PartName="/xl/worksheets/_rels/sheet5.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12.xml" ContentType="application/vnd.openxmlformats-officedocument.spreadsheetml.worksheet+xml"/>
  <Override PartName="/xl/worksheets/sheet7.xml" ContentType="application/vnd.openxmlformats-officedocument.spreadsheetml.worksheet+xml"/>
  <Override PartName="/xl/worksheets/sheet13.xml" ContentType="application/vnd.openxmlformats-officedocument.spreadsheetml.worksheet+xml"/>
  <Override PartName="/xl/worksheets/sheet8.xml" ContentType="application/vnd.openxmlformats-officedocument.spreadsheetml.worksheet+xml"/>
  <Override PartName="/xl/worksheets/sheet14.xml" ContentType="application/vnd.openxmlformats-officedocument.spreadsheetml.worksheet+xml"/>
  <Override PartName="/xl/worksheets/sheet9.xml" ContentType="application/vnd.openxmlformats-officedocument.spreadsheetml.worksheet+xml"/>
  <Override PartName="/xl/worksheets/sheet5.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_rels/drawing9.xml.rels" ContentType="application/vnd.openxmlformats-package.relationships+xml"/>
  <Override PartName="/xl/drawings/_rels/drawing8.xml.rels" ContentType="application/vnd.openxmlformats-package.relationships+xml"/>
  <Override PartName="/xl/drawings/_rels/drawing7.xml.rels" ContentType="application/vnd.openxmlformats-package.relationships+xml"/>
  <Override PartName="/xl/drawings/_rels/drawing10.xml.rels" ContentType="application/vnd.openxmlformats-package.relationships+xml"/>
  <Override PartName="/xl/drawings/_rels/drawing5.xml.rels" ContentType="application/vnd.openxmlformats-package.relationships+xml"/>
  <Override PartName="/xl/drawings/_rels/drawing6.xml.rels" ContentType="application/vnd.openxmlformats-package.relationships+xml"/>
  <Override PartName="/xl/drawings/_rels/drawing4.xml.rels" ContentType="application/vnd.openxmlformats-package.relationships+xml"/>
  <Override PartName="/xl/drawings/_rels/drawing3.xml.rels" ContentType="application/vnd.openxmlformats-package.relationships+xml"/>
  <Override PartName="/xl/drawings/_rels/drawing2.xml.rels" ContentType="application/vnd.openxmlformats-package.relationships+xml"/>
  <Override PartName="/xl/drawings/_rels/drawing1.xml.rels" ContentType="application/vnd.openxmlformats-package.relationships+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10.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10.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aw Data" sheetId="1" state="visible" r:id="rId3"/>
    <sheet name="Central Tendency &amp; Dispersion" sheetId="2" state="visible" r:id="rId4"/>
    <sheet name="Plot of Variable_1" sheetId="3" state="visible" r:id="rId5"/>
    <sheet name="Plot of Variable_2" sheetId="4" state="visible" r:id="rId6"/>
    <sheet name="Plot of Variable_3" sheetId="5" state="visible" r:id="rId7"/>
    <sheet name="Plot of Variable_4" sheetId="6" state="visible" r:id="rId8"/>
    <sheet name="Plot of Variable_5" sheetId="7" state="visible" r:id="rId9"/>
    <sheet name="Plot of Variable_6" sheetId="8" state="visible" r:id="rId10"/>
    <sheet name="Plot of Variable_7" sheetId="9" state="visible" r:id="rId11"/>
    <sheet name="Plot of Variable_8" sheetId="10" state="visible" r:id="rId12"/>
    <sheet name="Categorical Association" sheetId="11" state="visible" r:id="rId13"/>
    <sheet name="Plot of Association" sheetId="12" state="visible" r:id="rId14"/>
    <sheet name="Plot of Scatter (X1 vs X2)" sheetId="13" state="visible" r:id="rId15"/>
    <sheet name="Covariance &amp; Correlation" sheetId="14" state="visible" r:id="rId16"/>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<sst xmlns="http://schemas.openxmlformats.org/spreadsheetml/2006/main" count="4290" uniqueCount="1176">
  <si>
    <t xml:space="preserve">Name</t>
  </si>
  <si>
    <t xml:space="preserve">Country</t>
  </si>
  <si>
    <t xml:space="preserve">Users</t>
  </si>
  <si>
    <t xml:space="preserve">Purpose</t>
  </si>
  <si>
    <t xml:space="preserve">Perigee_km</t>
  </si>
  <si>
    <t xml:space="preserve">Apogee_km</t>
  </si>
  <si>
    <t xml:space="preserve">Inclination_deg</t>
  </si>
  <si>
    <t xml:space="preserve">Period_min</t>
  </si>
  <si>
    <t xml:space="preserve">Launch_Mass_kg</t>
  </si>
  <si>
    <t xml:space="preserve">Source citation:</t>
  </si>
  <si>
    <t xml:space="preserve">UCS Satellite Database — https://www.ucs.org/resources/satellite-database (same dataset as Activity 1 &amp; 2)</t>
  </si>
  <si>
    <t xml:space="preserve">Starlink-5792                </t>
  </si>
  <si>
    <t xml:space="preserve">USA</t>
  </si>
  <si>
    <t xml:space="preserve">Commercial</t>
  </si>
  <si>
    <t xml:space="preserve">Communications</t>
  </si>
  <si>
    <t xml:space="preserve">Starlink-5053 </t>
  </si>
  <si>
    <t xml:space="preserve">BRO-8</t>
  </si>
  <si>
    <t xml:space="preserve">France</t>
  </si>
  <si>
    <t xml:space="preserve">Earth Observation</t>
  </si>
  <si>
    <t xml:space="preserve">EKS-4 (Integrated Space System, Cosmos 2546, Tundra 14L)</t>
  </si>
  <si>
    <t xml:space="preserve">Russia</t>
  </si>
  <si>
    <t xml:space="preserve">Military</t>
  </si>
  <si>
    <t xml:space="preserve">OneWeb-0359 </t>
  </si>
  <si>
    <t xml:space="preserve">United Kingdom</t>
  </si>
  <si>
    <t xml:space="preserve">OneWeb-0632                </t>
  </si>
  <si>
    <t xml:space="preserve">OneWeb-0361 </t>
  </si>
  <si>
    <t xml:space="preserve">Starlink-4431</t>
  </si>
  <si>
    <t xml:space="preserve">SLDCOM-3 (Satellite Launch Dispenser Communications System) (USA 119)</t>
  </si>
  <si>
    <t xml:space="preserve">KSM-1B (Kleos Scouting Mission 1B)</t>
  </si>
  <si>
    <t xml:space="preserve">Luxembourg</t>
  </si>
  <si>
    <t xml:space="preserve">OneWeb-0456</t>
  </si>
  <si>
    <t xml:space="preserve">Starlink-5283                </t>
  </si>
  <si>
    <t xml:space="preserve">Starlink-1330</t>
  </si>
  <si>
    <t xml:space="preserve">Starlink-4215 </t>
  </si>
  <si>
    <t xml:space="preserve">Starlink-1970 </t>
  </si>
  <si>
    <t xml:space="preserve">IRNSS-1F (Indian Regional Navigation Satellite System)</t>
  </si>
  <si>
    <t xml:space="preserve">India</t>
  </si>
  <si>
    <t xml:space="preserve">Government</t>
  </si>
  <si>
    <t xml:space="preserve">Navigation/Regional Positioning</t>
  </si>
  <si>
    <t xml:space="preserve">Starlink-2037 </t>
  </si>
  <si>
    <t xml:space="preserve">Starlink-5156 </t>
  </si>
  <si>
    <t xml:space="preserve">Starlink-2081 </t>
  </si>
  <si>
    <t xml:space="preserve">Globalstar M072 (Globalstar 72)</t>
  </si>
  <si>
    <t xml:space="preserve">AEHF-6 (Advanced Extremely High Frequency satellite-6, USA 298)</t>
  </si>
  <si>
    <t xml:space="preserve">Starlink-2461</t>
  </si>
  <si>
    <t xml:space="preserve">Starlink-2745</t>
  </si>
  <si>
    <t xml:space="preserve">Navstar GPS IIR-4 (Navstar SVN 51, PRN 20, USA 150)</t>
  </si>
  <si>
    <t xml:space="preserve">Military/Commercial</t>
  </si>
  <si>
    <t xml:space="preserve">Navigation/Global Positioning</t>
  </si>
  <si>
    <t xml:space="preserve">Starlink-1400</t>
  </si>
  <si>
    <t xml:space="preserve">Starlink-5029 </t>
  </si>
  <si>
    <t xml:space="preserve">Siwei 01 (SuperView Neo 1-01)</t>
  </si>
  <si>
    <t xml:space="preserve">China</t>
  </si>
  <si>
    <t xml:space="preserve">Starlink-3829 </t>
  </si>
  <si>
    <t xml:space="preserve">Starlink-5558                </t>
  </si>
  <si>
    <t xml:space="preserve">RAAF M2 Pathfinder</t>
  </si>
  <si>
    <t xml:space="preserve">Australia</t>
  </si>
  <si>
    <t xml:space="preserve">Civil/Military</t>
  </si>
  <si>
    <t xml:space="preserve">Technology Development</t>
  </si>
  <si>
    <t xml:space="preserve">Spot 6 (Système Probatoire d’Observation de la Terre)</t>
  </si>
  <si>
    <t xml:space="preserve">France/Belgium/Sweden</t>
  </si>
  <si>
    <t xml:space="preserve">Navstar GPS IIR-8 (Navstar SVN 56, PRN 16, USA 166)</t>
  </si>
  <si>
    <t xml:space="preserve">Meteosat 10 (MSGalaxy-3,MSG 3)</t>
  </si>
  <si>
    <t xml:space="preserve">Multinational</t>
  </si>
  <si>
    <t xml:space="preserve">Government/Civil</t>
  </si>
  <si>
    <t xml:space="preserve">O3b FM10</t>
  </si>
  <si>
    <t xml:space="preserve">Starlink-3315 </t>
  </si>
  <si>
    <t xml:space="preserve">Echostar 21 (TerreStar 2)</t>
  </si>
  <si>
    <t xml:space="preserve">Starlink-5720                </t>
  </si>
  <si>
    <t xml:space="preserve">Starlink-2197 </t>
  </si>
  <si>
    <t xml:space="preserve">IGS Radar 6 (Information Gathering Satellite 6, IGS Radar 6)</t>
  </si>
  <si>
    <t xml:space="preserve">Japan</t>
  </si>
  <si>
    <t xml:space="preserve">GOES 16 (Geostationary Operational Environmental Satellite GOES-R)</t>
  </si>
  <si>
    <t xml:space="preserve">Starlink-4049 </t>
  </si>
  <si>
    <t xml:space="preserve">Starlink-3083 </t>
  </si>
  <si>
    <t xml:space="preserve">Dove 3p-33 (0 Flock 3P-33 103C)</t>
  </si>
  <si>
    <t xml:space="preserve">OneWeb-0292 </t>
  </si>
  <si>
    <t xml:space="preserve">Starlink-5655                </t>
  </si>
  <si>
    <t xml:space="preserve">Starlink-3271 </t>
  </si>
  <si>
    <t xml:space="preserve">Starlink-30097</t>
  </si>
  <si>
    <t xml:space="preserve">Starlink-5715                </t>
  </si>
  <si>
    <t xml:space="preserve">OneWeb-0540 </t>
  </si>
  <si>
    <t xml:space="preserve">Iridium Next SV 105</t>
  </si>
  <si>
    <t xml:space="preserve">Government/Commercial</t>
  </si>
  <si>
    <t xml:space="preserve">Starlink-1938 </t>
  </si>
  <si>
    <t xml:space="preserve">Starlink-2570</t>
  </si>
  <si>
    <t xml:space="preserve">AMC-15 (Americom-15)</t>
  </si>
  <si>
    <t xml:space="preserve">Diamond Blue (3 Diamonds 1)</t>
  </si>
  <si>
    <t xml:space="preserve">Starlink-3322 </t>
  </si>
  <si>
    <t xml:space="preserve">Starlink-4743 </t>
  </si>
  <si>
    <t xml:space="preserve">Starlink-2639</t>
  </si>
  <si>
    <t xml:space="preserve">Starlink-1989 </t>
  </si>
  <si>
    <t xml:space="preserve">Astra 5B</t>
  </si>
  <si>
    <t xml:space="preserve">Starlink-5173 </t>
  </si>
  <si>
    <t xml:space="preserve">Gonets M-20</t>
  </si>
  <si>
    <t xml:space="preserve">SOMP-2b (Student On-Orbit Measurement Project 2b)</t>
  </si>
  <si>
    <t xml:space="preserve">Germany</t>
  </si>
  <si>
    <t xml:space="preserve">Civil</t>
  </si>
  <si>
    <t xml:space="preserve">Space Science</t>
  </si>
  <si>
    <t xml:space="preserve">Starlink-5384 </t>
  </si>
  <si>
    <t xml:space="preserve">Starlink-4612 </t>
  </si>
  <si>
    <t xml:space="preserve">Lemur-2 Jeremiah (Lemur 2F129)</t>
  </si>
  <si>
    <t xml:space="preserve">Starlink-2526</t>
  </si>
  <si>
    <t xml:space="preserve">Starlink-1611 </t>
  </si>
  <si>
    <t xml:space="preserve">Starlink-5137 </t>
  </si>
  <si>
    <t xml:space="preserve">OneWeb-0535 </t>
  </si>
  <si>
    <t xml:space="preserve">Dove 4y-15 (0 Flock 4y-15 24b3)</t>
  </si>
  <si>
    <t xml:space="preserve">Dove 4y-30 (0 Flock 4y30 24C0)</t>
  </si>
  <si>
    <t xml:space="preserve">Starlink-2595</t>
  </si>
  <si>
    <t xml:space="preserve">Starlink-4500 </t>
  </si>
  <si>
    <t xml:space="preserve">Starlink-1523 </t>
  </si>
  <si>
    <t xml:space="preserve">ÑuSat-32 (Albania-1)</t>
  </si>
  <si>
    <t xml:space="preserve">Argentina</t>
  </si>
  <si>
    <t xml:space="preserve">NSS-10 (Star One C-12, AMC-12, Americom 12, Worldsat 2)</t>
  </si>
  <si>
    <t xml:space="preserve">Netherlands</t>
  </si>
  <si>
    <t xml:space="preserve">Starlink-1054</t>
  </si>
  <si>
    <t xml:space="preserve">OneWeb-0405 </t>
  </si>
  <si>
    <t xml:space="preserve">VRSS-1 (Venezuelan Remote Sensing Satellite, Francisco Miranda)</t>
  </si>
  <si>
    <t xml:space="preserve">Venezuela</t>
  </si>
  <si>
    <t xml:space="preserve">Starlink-5377                </t>
  </si>
  <si>
    <t xml:space="preserve">Meteosat 11 (MSG 4)</t>
  </si>
  <si>
    <t xml:space="preserve">Sapling Giganteum (Sapling-2)</t>
  </si>
  <si>
    <t xml:space="preserve">Starlink-1973 </t>
  </si>
  <si>
    <t xml:space="preserve">Greenhouse Gases Observing Satellite (Ibuki, GoSAT)</t>
  </si>
  <si>
    <t xml:space="preserve">Starlink-5670                </t>
  </si>
  <si>
    <t xml:space="preserve">Starlink-3636 </t>
  </si>
  <si>
    <t xml:space="preserve">Starlink-3655 </t>
  </si>
  <si>
    <t xml:space="preserve">SpaceBEE-130</t>
  </si>
  <si>
    <t xml:space="preserve">Starlink-4021 </t>
  </si>
  <si>
    <t xml:space="preserve">Starlink-1401</t>
  </si>
  <si>
    <t xml:space="preserve">Starlink-3990 </t>
  </si>
  <si>
    <t xml:space="preserve">Starlink-3246 </t>
  </si>
  <si>
    <t xml:space="preserve">OneWeb-0541                </t>
  </si>
  <si>
    <t xml:space="preserve">Turksat 3A</t>
  </si>
  <si>
    <t xml:space="preserve">Turkey</t>
  </si>
  <si>
    <t xml:space="preserve">Starlink-5895</t>
  </si>
  <si>
    <t xml:space="preserve">Brazilsat B-4 (Brasilsat B-4)</t>
  </si>
  <si>
    <t xml:space="preserve">Brazil</t>
  </si>
  <si>
    <t xml:space="preserve">Starlink-4258 </t>
  </si>
  <si>
    <t xml:space="preserve">Starlink-1274</t>
  </si>
  <si>
    <t xml:space="preserve">O3b FM13</t>
  </si>
  <si>
    <t xml:space="preserve">Starlink-4592</t>
  </si>
  <si>
    <t xml:space="preserve">Eutelsat 172B</t>
  </si>
  <si>
    <t xml:space="preserve">Sinosat-6 (Chinasat-6A, XN-6)</t>
  </si>
  <si>
    <t xml:space="preserve">OneWeb-0519 </t>
  </si>
  <si>
    <t xml:space="preserve">Starlink-5244 </t>
  </si>
  <si>
    <t xml:space="preserve">Starlink-4608</t>
  </si>
  <si>
    <t xml:space="preserve">Starlink-2233</t>
  </si>
  <si>
    <t xml:space="preserve">Starlink-2578</t>
  </si>
  <si>
    <t xml:space="preserve">Steamsat-1</t>
  </si>
  <si>
    <t xml:space="preserve">Poland/UK</t>
  </si>
  <si>
    <t xml:space="preserve">Dove 4s-41 (0 Flock 4s-41 2427)</t>
  </si>
  <si>
    <t xml:space="preserve">Dove 4a-5 (0 Flock 4a-5 2227)</t>
  </si>
  <si>
    <t xml:space="preserve">Starlink-3596 </t>
  </si>
  <si>
    <t xml:space="preserve">Starlink-1023</t>
  </si>
  <si>
    <t xml:space="preserve">Starlink-1419</t>
  </si>
  <si>
    <t xml:space="preserve">Starlink-1752</t>
  </si>
  <si>
    <t xml:space="preserve">QZS-3 (Quazi-Zenith Satellite System, Michibiki-3)</t>
  </si>
  <si>
    <t xml:space="preserve">Lotos-S1 803 (Cosmos 2524)</t>
  </si>
  <si>
    <t xml:space="preserve">THEMIS A (Time History of Events and Macroscale Interactions during Substorms) </t>
  </si>
  <si>
    <t xml:space="preserve">YAM-5 (Yet Another Mission)</t>
  </si>
  <si>
    <t xml:space="preserve">Technology Demonstration</t>
  </si>
  <si>
    <t xml:space="preserve">OneWeb-0414 </t>
  </si>
  <si>
    <t xml:space="preserve">Starlink-1109</t>
  </si>
  <si>
    <t xml:space="preserve">Starlink-4497 </t>
  </si>
  <si>
    <t xml:space="preserve">Jin Zijing 2 (Golden Bauhinia N2) </t>
  </si>
  <si>
    <t xml:space="preserve">Starlink-5064                </t>
  </si>
  <si>
    <t xml:space="preserve">Mexsat-3 (Mexsat Bicentenario)</t>
  </si>
  <si>
    <t xml:space="preserve">Mexico</t>
  </si>
  <si>
    <t xml:space="preserve">Government/Military</t>
  </si>
  <si>
    <t xml:space="preserve">Starlink-5256 </t>
  </si>
  <si>
    <t xml:space="preserve">ARCE 1C (Articulated Reconnaissance and Communications Expedition-1)</t>
  </si>
  <si>
    <t xml:space="preserve">Starlink-2178 </t>
  </si>
  <si>
    <t xml:space="preserve">O3b FM11</t>
  </si>
  <si>
    <t xml:space="preserve">Starlink-3753 </t>
  </si>
  <si>
    <t xml:space="preserve">Iridium Next SV 107</t>
  </si>
  <si>
    <t xml:space="preserve">Starlink-2613</t>
  </si>
  <si>
    <t xml:space="preserve">Starlink-4411 </t>
  </si>
  <si>
    <t xml:space="preserve">Starlink-4124 </t>
  </si>
  <si>
    <t xml:space="preserve">Starlink-1530 </t>
  </si>
  <si>
    <t xml:space="preserve">CHEOPS (CHaracterising ExOPlanet Satellite)</t>
  </si>
  <si>
    <t xml:space="preserve">ESA</t>
  </si>
  <si>
    <t xml:space="preserve">Galileo IOV-1 PFM (0101, PRN E11)</t>
  </si>
  <si>
    <t xml:space="preserve">Starlink-2142 </t>
  </si>
  <si>
    <t xml:space="preserve">Starlink-4485</t>
  </si>
  <si>
    <t xml:space="preserve">Kepler-13 LUCKY</t>
  </si>
  <si>
    <t xml:space="preserve">Canada</t>
  </si>
  <si>
    <t xml:space="preserve">Jilin-1 GaoFen 03D-05</t>
  </si>
  <si>
    <t xml:space="preserve">Starlink-5369 </t>
  </si>
  <si>
    <t xml:space="preserve">Galileo IOV-2 FM4 (0104, PRN E20)</t>
  </si>
  <si>
    <t xml:space="preserve">Starlink-2449 </t>
  </si>
  <si>
    <t xml:space="preserve">Amazonas-5</t>
  </si>
  <si>
    <t xml:space="preserve">Spain</t>
  </si>
  <si>
    <t xml:space="preserve">Starlink-3973 </t>
  </si>
  <si>
    <t xml:space="preserve">Starlink-4046 </t>
  </si>
  <si>
    <t xml:space="preserve">Starlink-4440</t>
  </si>
  <si>
    <t xml:space="preserve">Starlink-5642                </t>
  </si>
  <si>
    <t xml:space="preserve">Starlink-2059 </t>
  </si>
  <si>
    <t xml:space="preserve">Dove 4x-32 (0 Flock 4x-32 249e)</t>
  </si>
  <si>
    <t xml:space="preserve">Starlink-3457 </t>
  </si>
  <si>
    <t xml:space="preserve">Starlink-5955</t>
  </si>
  <si>
    <t xml:space="preserve">Lemur-2 DaveWilson (Lemur 2F69)</t>
  </si>
  <si>
    <t xml:space="preserve">BlackSky Global 14</t>
  </si>
  <si>
    <t xml:space="preserve">Chandra X-Ray Observatory (CXO)</t>
  </si>
  <si>
    <t xml:space="preserve">Starlink-4714</t>
  </si>
  <si>
    <t xml:space="preserve">Starlink-1172</t>
  </si>
  <si>
    <t xml:space="preserve">Starlink-3350 </t>
  </si>
  <si>
    <t xml:space="preserve">Starlink-4115 </t>
  </si>
  <si>
    <t xml:space="preserve">Starlink-4313 </t>
  </si>
  <si>
    <t xml:space="preserve">Starlink-1123</t>
  </si>
  <si>
    <t xml:space="preserve">Starlink-3516 </t>
  </si>
  <si>
    <t xml:space="preserve">Starlink-1113</t>
  </si>
  <si>
    <t xml:space="preserve">Eutelsat 5 West A (Atlantic Bird 3, Stellat 5)</t>
  </si>
  <si>
    <t xml:space="preserve">Starlink-1711</t>
  </si>
  <si>
    <t xml:space="preserve">Starlink-5500                </t>
  </si>
  <si>
    <t xml:space="preserve">Starlink-5777                </t>
  </si>
  <si>
    <t xml:space="preserve">Starlink-3837 </t>
  </si>
  <si>
    <t xml:space="preserve">Starlink-4261 </t>
  </si>
  <si>
    <t xml:space="preserve">EOS-1 (Earth Observing Satellite 1, RISAT 2BR2)</t>
  </si>
  <si>
    <t xml:space="preserve">Starlink-1957 </t>
  </si>
  <si>
    <t xml:space="preserve">Starlink-1235</t>
  </si>
  <si>
    <t xml:space="preserve">Starlink-1081</t>
  </si>
  <si>
    <t xml:space="preserve">Starlink-5658                </t>
  </si>
  <si>
    <t xml:space="preserve">ICEYE-X12 (ICEYE POC 12, XR1)</t>
  </si>
  <si>
    <t xml:space="preserve">Finland</t>
  </si>
  <si>
    <t xml:space="preserve">Starlink-4463</t>
  </si>
  <si>
    <t xml:space="preserve">Starlink-5574                </t>
  </si>
  <si>
    <t xml:space="preserve">Starlink-4036 </t>
  </si>
  <si>
    <t xml:space="preserve">Starlink-5533</t>
  </si>
  <si>
    <t xml:space="preserve">Starlink-5789                </t>
  </si>
  <si>
    <t xml:space="preserve">SpaceBEE-160</t>
  </si>
  <si>
    <t xml:space="preserve">Starlink-1995 </t>
  </si>
  <si>
    <t xml:space="preserve">OneWeb-0262</t>
  </si>
  <si>
    <t xml:space="preserve">Starlink-1143</t>
  </si>
  <si>
    <t xml:space="preserve">Aerocube 7A</t>
  </si>
  <si>
    <t xml:space="preserve">Starlink-3715 </t>
  </si>
  <si>
    <t xml:space="preserve">SpaceBEE NZ-17 </t>
  </si>
  <si>
    <t xml:space="preserve">Optus D1 </t>
  </si>
  <si>
    <t xml:space="preserve">Starlink-5194 </t>
  </si>
  <si>
    <t xml:space="preserve">Starlink-4731</t>
  </si>
  <si>
    <t xml:space="preserve">Dove 3p-23 (0 Flock 3P-23 1025)</t>
  </si>
  <si>
    <t xml:space="preserve">Shiyan 1 (SY 1, Tansuo 1, Experimental Satellite 1)</t>
  </si>
  <si>
    <t xml:space="preserve">Shiyan 7 (SY7, Experimental Satellite 7)</t>
  </si>
  <si>
    <t xml:space="preserve">Starlink-4209 </t>
  </si>
  <si>
    <t xml:space="preserve">OneWeb-0191 </t>
  </si>
  <si>
    <t xml:space="preserve">Apstar 7</t>
  </si>
  <si>
    <t xml:space="preserve">OneWeb-0520 </t>
  </si>
  <si>
    <t xml:space="preserve">Jilin-1 GaoFen 03D-34</t>
  </si>
  <si>
    <t xml:space="preserve">Lemur-2 SpecialK</t>
  </si>
  <si>
    <t xml:space="preserve">Starlink-4765 </t>
  </si>
  <si>
    <t xml:space="preserve">Starlink-1080</t>
  </si>
  <si>
    <t xml:space="preserve">Starlink-2321 </t>
  </si>
  <si>
    <t xml:space="preserve">Starlink-4208 </t>
  </si>
  <si>
    <t xml:space="preserve">Beesat-8 (Berlin Experimental and Educational Satellite-8)</t>
  </si>
  <si>
    <t xml:space="preserve">INSAT 3DR (Indian National Satellite)</t>
  </si>
  <si>
    <t xml:space="preserve">Starlink-5035 </t>
  </si>
  <si>
    <t xml:space="preserve">UPMSat-2</t>
  </si>
  <si>
    <t xml:space="preserve">Haiyang 2A (HY 2A)</t>
  </si>
  <si>
    <t xml:space="preserve">Starlink-1171</t>
  </si>
  <si>
    <t xml:space="preserve">Jilin-1-9 (Guanpu 1)</t>
  </si>
  <si>
    <t xml:space="preserve">Express-AM8</t>
  </si>
  <si>
    <t xml:space="preserve">Starlink-4557 </t>
  </si>
  <si>
    <t xml:space="preserve">Starlink-4200 </t>
  </si>
  <si>
    <t xml:space="preserve">Tianqi-6</t>
  </si>
  <si>
    <t xml:space="preserve">NovaSAR-1</t>
  </si>
  <si>
    <t xml:space="preserve">CYGNSS FM03 (Cyclone Global Navigation Satellite System)</t>
  </si>
  <si>
    <t xml:space="preserve">Starlink-4421</t>
  </si>
  <si>
    <t xml:space="preserve">OneWeb-0558                </t>
  </si>
  <si>
    <t xml:space="preserve">OneWeb-0181 </t>
  </si>
  <si>
    <t xml:space="preserve">Galileo FOC FM7 (0207, Galileo 15)</t>
  </si>
  <si>
    <t xml:space="preserve">Measat 3D (Malaysia East Asia Sat 3D)</t>
  </si>
  <si>
    <t xml:space="preserve">Malaysia</t>
  </si>
  <si>
    <t xml:space="preserve">Starlink-1579 </t>
  </si>
  <si>
    <t xml:space="preserve">Cicero-8 (Community Initiative for Cellular Earth Remote Observation-8)</t>
  </si>
  <si>
    <t xml:space="preserve">Göktürk 1</t>
  </si>
  <si>
    <t xml:space="preserve">Starlink-3730 </t>
  </si>
  <si>
    <t xml:space="preserve">Lemur-2 Duly (Lemur 2F87)</t>
  </si>
  <si>
    <t xml:space="preserve">Galileo FOC FM13 (0213, Galileo 17)</t>
  </si>
  <si>
    <t xml:space="preserve">Starlink-1651</t>
  </si>
  <si>
    <t xml:space="preserve">Anik F1R</t>
  </si>
  <si>
    <t xml:space="preserve">Hawk-B (HawkEye 360 Pathfinder 2)</t>
  </si>
  <si>
    <t xml:space="preserve">Surveillance</t>
  </si>
  <si>
    <t xml:space="preserve">Starlink-3542 </t>
  </si>
  <si>
    <t xml:space="preserve">OneWeb-0045</t>
  </si>
  <si>
    <t xml:space="preserve">CHOMPTT (CubeSat Handling Of Multisystem Precision Time Transfer)</t>
  </si>
  <si>
    <t xml:space="preserve">Starlink-3776 </t>
  </si>
  <si>
    <t xml:space="preserve">Starlink-5041 </t>
  </si>
  <si>
    <t xml:space="preserve">Starlink-2582</t>
  </si>
  <si>
    <t xml:space="preserve">Starlink-1156</t>
  </si>
  <si>
    <t xml:space="preserve">Starlink-5387 </t>
  </si>
  <si>
    <t xml:space="preserve">Starlink-5607                </t>
  </si>
  <si>
    <t xml:space="preserve">Starlink-5905                </t>
  </si>
  <si>
    <t xml:space="preserve">Starlink-1088</t>
  </si>
  <si>
    <t xml:space="preserve">Starlink-3150 </t>
  </si>
  <si>
    <t xml:space="preserve">Starlink-3283 </t>
  </si>
  <si>
    <t xml:space="preserve">Vigoride AZ (Vigoride 5)</t>
  </si>
  <si>
    <t xml:space="preserve">Starlink-1462 </t>
  </si>
  <si>
    <t xml:space="preserve">OneWeb-0124 </t>
  </si>
  <si>
    <t xml:space="preserve">Starlink-5632                </t>
  </si>
  <si>
    <t xml:space="preserve">Starlink-3733 </t>
  </si>
  <si>
    <t xml:space="preserve">OneWeb-0661                </t>
  </si>
  <si>
    <t xml:space="preserve">Starlink-5104                </t>
  </si>
  <si>
    <t xml:space="preserve">Starlink-2340 </t>
  </si>
  <si>
    <t xml:space="preserve">Jin Zijing 3</t>
  </si>
  <si>
    <t xml:space="preserve">Starlink-2292 </t>
  </si>
  <si>
    <t xml:space="preserve">LLITED-A (Low-Latitude Ionosphere/Thermosphere Enhancements in Density)</t>
  </si>
  <si>
    <t xml:space="preserve">Earth Science</t>
  </si>
  <si>
    <t xml:space="preserve">Starlink-5502                </t>
  </si>
  <si>
    <t xml:space="preserve">Starlink-1039</t>
  </si>
  <si>
    <t xml:space="preserve">Starlink-3087 </t>
  </si>
  <si>
    <t xml:space="preserve">Starlink-5787                </t>
  </si>
  <si>
    <t xml:space="preserve">Starlink-3995 </t>
  </si>
  <si>
    <t xml:space="preserve">Starlink-1990 </t>
  </si>
  <si>
    <t xml:space="preserve">Starlink-4016 </t>
  </si>
  <si>
    <t xml:space="preserve">Starlink-4305 </t>
  </si>
  <si>
    <t xml:space="preserve">Dove 3p-49 (0 Flock 3P-49 1038)</t>
  </si>
  <si>
    <t xml:space="preserve">Starlink-3933 </t>
  </si>
  <si>
    <t xml:space="preserve">INMARSAT 5 F3</t>
  </si>
  <si>
    <t xml:space="preserve">SkySat-11 (SkySat C9, S109)</t>
  </si>
  <si>
    <t xml:space="preserve">Starlink-1351 </t>
  </si>
  <si>
    <t xml:space="preserve">Starlink-5183 </t>
  </si>
  <si>
    <t xml:space="preserve">O3b FM16</t>
  </si>
  <si>
    <t xml:space="preserve">Starlink-2083 </t>
  </si>
  <si>
    <t xml:space="preserve">OneWeb-0658                </t>
  </si>
  <si>
    <t xml:space="preserve">Starlink-2450 </t>
  </si>
  <si>
    <t xml:space="preserve">Starlink-5249 </t>
  </si>
  <si>
    <t xml:space="preserve">OneWeb-0461</t>
  </si>
  <si>
    <t xml:space="preserve">Starlink-6119                </t>
  </si>
  <si>
    <t xml:space="preserve">Taijing 2-01</t>
  </si>
  <si>
    <t xml:space="preserve">GPM Core Observatory (Global Precipitation Measurement)</t>
  </si>
  <si>
    <t xml:space="preserve">USA/Japan</t>
  </si>
  <si>
    <t xml:space="preserve">Lotos-S1 805 (Cosmos 2549)</t>
  </si>
  <si>
    <t xml:space="preserve">OneWeb-0577                </t>
  </si>
  <si>
    <t xml:space="preserve">Eutelsat 174A (GE-23, AMC-23, Worldsat 3, Americom 23)</t>
  </si>
  <si>
    <t xml:space="preserve">Telstar 14R (Estrela do Sul 2)</t>
  </si>
  <si>
    <t xml:space="preserve">Starlink-3180 </t>
  </si>
  <si>
    <t xml:space="preserve">İMECE</t>
  </si>
  <si>
    <t xml:space="preserve">Starlink-5627                </t>
  </si>
  <si>
    <t xml:space="preserve">Starlink-30051               </t>
  </si>
  <si>
    <t xml:space="preserve">Worldview 3</t>
  </si>
  <si>
    <t xml:space="preserve">Starlink-1307</t>
  </si>
  <si>
    <t xml:space="preserve">Starlink-2683</t>
  </si>
  <si>
    <t xml:space="preserve">SpaceBEE-147 </t>
  </si>
  <si>
    <t xml:space="preserve">Starlink-5659                </t>
  </si>
  <si>
    <t xml:space="preserve">Starlink-1996 </t>
  </si>
  <si>
    <t xml:space="preserve">Starlink-2673</t>
  </si>
  <si>
    <t xml:space="preserve">Challenge One</t>
  </si>
  <si>
    <t xml:space="preserve">Tunisia</t>
  </si>
  <si>
    <t xml:space="preserve">Starlink-2160 </t>
  </si>
  <si>
    <t xml:space="preserve">Starlink-2736</t>
  </si>
  <si>
    <t xml:space="preserve">Starlink-3999 </t>
  </si>
  <si>
    <t xml:space="preserve">Starlink-1570 </t>
  </si>
  <si>
    <t xml:space="preserve">Iridium Next SV 140</t>
  </si>
  <si>
    <t xml:space="preserve">Beidou 3I-1S</t>
  </si>
  <si>
    <t xml:space="preserve">Military/Government</t>
  </si>
  <si>
    <t xml:space="preserve">Starlink-4030 </t>
  </si>
  <si>
    <t xml:space="preserve">Yaogan 30-2-2 (Remote Sensing Satellite 30-2-2)</t>
  </si>
  <si>
    <t xml:space="preserve">Starlink-5532                </t>
  </si>
  <si>
    <t xml:space="preserve">Dove 4s-13 (0 Flock 4s-13 2453)</t>
  </si>
  <si>
    <t xml:space="preserve">Lemur-2 Rdeaton (Lemur 2-F25)</t>
  </si>
  <si>
    <t xml:space="preserve">Starlink-3686 </t>
  </si>
  <si>
    <t xml:space="preserve">Starlink-30083</t>
  </si>
  <si>
    <t xml:space="preserve">Starlink-4144 </t>
  </si>
  <si>
    <t xml:space="preserve">Starlink-5851                </t>
  </si>
  <si>
    <t xml:space="preserve">Yaogan 16A (Remote Sensing Satellite 16A, Yaogan Weixing 16)</t>
  </si>
  <si>
    <t xml:space="preserve">Gonets M-31</t>
  </si>
  <si>
    <t xml:space="preserve">Starlink-5531                </t>
  </si>
  <si>
    <t xml:space="preserve">Starlink-4566</t>
  </si>
  <si>
    <t xml:space="preserve">Dove 4x-17 (0 Flock 4x-17 247a)</t>
  </si>
  <si>
    <t xml:space="preserve">Tyvak 0152</t>
  </si>
  <si>
    <t xml:space="preserve">Starlink-6038</t>
  </si>
  <si>
    <t xml:space="preserve">Starlink-30058               </t>
  </si>
  <si>
    <t xml:space="preserve">Shijian 15 (SJ-15)</t>
  </si>
  <si>
    <t xml:space="preserve">Iridium Next SV 124</t>
  </si>
  <si>
    <t xml:space="preserve">OneWeb-0603 </t>
  </si>
  <si>
    <t xml:space="preserve">DMSP 5D-3 F18 (Defense Meteorological Satellites Program, USA 210)</t>
  </si>
  <si>
    <t xml:space="preserve">Cosmos 3537</t>
  </si>
  <si>
    <t xml:space="preserve">OneWeb-0399 </t>
  </si>
  <si>
    <t xml:space="preserve">Tianmu-1 06</t>
  </si>
  <si>
    <t xml:space="preserve">Meteorological</t>
  </si>
  <si>
    <t xml:space="preserve">Starlink-4274 </t>
  </si>
  <si>
    <t xml:space="preserve">Skynet 5C</t>
  </si>
  <si>
    <t xml:space="preserve">Jilin-1 Gaofen 03B-02 </t>
  </si>
  <si>
    <t xml:space="preserve">Gaofen 3-03</t>
  </si>
  <si>
    <t xml:space="preserve">Starlink-6083                </t>
  </si>
  <si>
    <t xml:space="preserve">Starlink-2534 </t>
  </si>
  <si>
    <t xml:space="preserve">Starlink-4792 </t>
  </si>
  <si>
    <t xml:space="preserve">Starlink-4709 </t>
  </si>
  <si>
    <t xml:space="preserve">Starlink-4674</t>
  </si>
  <si>
    <t xml:space="preserve">FAST 1 (Sara Lilly and Emma,  USA 222)</t>
  </si>
  <si>
    <t xml:space="preserve">Military/Civil</t>
  </si>
  <si>
    <t xml:space="preserve">USA 317 (NROL USA 317)</t>
  </si>
  <si>
    <t xml:space="preserve">Dove 3k-4 (0 Flock 3K-4 1063)</t>
  </si>
  <si>
    <t xml:space="preserve">Starlink-6082                </t>
  </si>
  <si>
    <t xml:space="preserve">Starlink-1108</t>
  </si>
  <si>
    <t xml:space="preserve">Starlink-2130 </t>
  </si>
  <si>
    <t xml:space="preserve">Starlink-5200 </t>
  </si>
  <si>
    <t xml:space="preserve">Starlink-6077                </t>
  </si>
  <si>
    <t xml:space="preserve">SpaceBEE-6</t>
  </si>
  <si>
    <t xml:space="preserve">Starlink-3239 </t>
  </si>
  <si>
    <t xml:space="preserve">OneWeb-0371 </t>
  </si>
  <si>
    <t xml:space="preserve">AII-Bravo</t>
  </si>
  <si>
    <t xml:space="preserve">Lithuania</t>
  </si>
  <si>
    <t xml:space="preserve">Iridium Next SV 160</t>
  </si>
  <si>
    <t xml:space="preserve">OneWeb-0608 </t>
  </si>
  <si>
    <t xml:space="preserve">Gaofen 10</t>
  </si>
  <si>
    <t xml:space="preserve">Starlink-5796                </t>
  </si>
  <si>
    <t xml:space="preserve">Dove 4v-7 (0 Flock 4v-7 227B)</t>
  </si>
  <si>
    <t xml:space="preserve">Zhongxing 9 (Chinasat 9, Chinastar 9)</t>
  </si>
  <si>
    <t xml:space="preserve">Beidou IGSO-3 (Compass G-8)</t>
  </si>
  <si>
    <t xml:space="preserve">Beidou DW 26</t>
  </si>
  <si>
    <t xml:space="preserve">Starlink-4314 </t>
  </si>
  <si>
    <t xml:space="preserve">Starlink-5305                </t>
  </si>
  <si>
    <t xml:space="preserve">Starlink-4350 </t>
  </si>
  <si>
    <t xml:space="preserve">OneWeb-0564                </t>
  </si>
  <si>
    <t xml:space="preserve">Tyvak 0211</t>
  </si>
  <si>
    <t xml:space="preserve">Starlink-2634</t>
  </si>
  <si>
    <t xml:space="preserve">Starlink-4427 </t>
  </si>
  <si>
    <t xml:space="preserve">Starlink-3566 </t>
  </si>
  <si>
    <t xml:space="preserve">AprizeSat 4 </t>
  </si>
  <si>
    <t xml:space="preserve">USA/Argentina</t>
  </si>
  <si>
    <t xml:space="preserve">Communications/Maritime Tracking</t>
  </si>
  <si>
    <t xml:space="preserve">Starlink-1818 </t>
  </si>
  <si>
    <t xml:space="preserve">Starlink-5462                </t>
  </si>
  <si>
    <t xml:space="preserve">Shiyan 11 (SY11, Experimental Satellite 11)</t>
  </si>
  <si>
    <t xml:space="preserve">Glonass 732 (Glonass 42-3, Cosmos 2460)</t>
  </si>
  <si>
    <t xml:space="preserve">Starlink-1411</t>
  </si>
  <si>
    <t xml:space="preserve">Starlink-1294</t>
  </si>
  <si>
    <t xml:space="preserve">Starlink-1110</t>
  </si>
  <si>
    <t xml:space="preserve">Iridium Next SV 144</t>
  </si>
  <si>
    <t xml:space="preserve">SpaceBEE-101</t>
  </si>
  <si>
    <t xml:space="preserve">STEP Cube Lab 2</t>
  </si>
  <si>
    <t xml:space="preserve">South Korea</t>
  </si>
  <si>
    <t xml:space="preserve">Starlink-5944                </t>
  </si>
  <si>
    <t xml:space="preserve">Starlink-3091 </t>
  </si>
  <si>
    <t xml:space="preserve">Starlink-4075 </t>
  </si>
  <si>
    <t xml:space="preserve">Starlink-3060 </t>
  </si>
  <si>
    <t xml:space="preserve">Starlink-2544 </t>
  </si>
  <si>
    <t xml:space="preserve">SpaceBEE-127 </t>
  </si>
  <si>
    <t xml:space="preserve">KestrelEye IIM</t>
  </si>
  <si>
    <t xml:space="preserve">Earth Observation/Technology Development</t>
  </si>
  <si>
    <t xml:space="preserve">XJS-E (New Technology Test Satellite-E)</t>
  </si>
  <si>
    <t xml:space="preserve">Starlink-5407 </t>
  </si>
  <si>
    <t xml:space="preserve">OneWeb-0044</t>
  </si>
  <si>
    <t xml:space="preserve">OneWeb-0111 </t>
  </si>
  <si>
    <t xml:space="preserve">Starlink-2712</t>
  </si>
  <si>
    <t xml:space="preserve">Starlink-1043</t>
  </si>
  <si>
    <t xml:space="preserve">Starlink-1302</t>
  </si>
  <si>
    <t xml:space="preserve">BlackSky Global 17</t>
  </si>
  <si>
    <t xml:space="preserve">GSAT-30</t>
  </si>
  <si>
    <t xml:space="preserve">Dove 4s-34 (0 Flock 4s-34 2464)</t>
  </si>
  <si>
    <t xml:space="preserve">Starlink-4398</t>
  </si>
  <si>
    <t xml:space="preserve">Gunsmoke-J4</t>
  </si>
  <si>
    <t xml:space="preserve">Starlink-1948 </t>
  </si>
  <si>
    <t xml:space="preserve">Starlink-3191 </t>
  </si>
  <si>
    <t xml:space="preserve">Starlink-1603 </t>
  </si>
  <si>
    <t xml:space="preserve">Starlink-3355 </t>
  </si>
  <si>
    <t xml:space="preserve">KSF3-D</t>
  </si>
  <si>
    <t xml:space="preserve">Lemur-2 TheNickMolo (Lemur 2F75)</t>
  </si>
  <si>
    <t xml:space="preserve">Starlink-6075                </t>
  </si>
  <si>
    <t xml:space="preserve">Starlink-2498 </t>
  </si>
  <si>
    <t xml:space="preserve">SkyBrasil-1 (Intelsat 32E)</t>
  </si>
  <si>
    <t xml:space="preserve">Starlink-3522 </t>
  </si>
  <si>
    <t xml:space="preserve">COSMIC-F (Formosat-3F, Constellation Observing System for Meteorology, Ionosphere and Climate)</t>
  </si>
  <si>
    <t xml:space="preserve">Taiwan</t>
  </si>
  <si>
    <t xml:space="preserve">Starlink-2166</t>
  </si>
  <si>
    <t xml:space="preserve">Starlink-3321 </t>
  </si>
  <si>
    <t xml:space="preserve">AmGU-1 (AmurSat-1)</t>
  </si>
  <si>
    <t xml:space="preserve">Starlink-4699 </t>
  </si>
  <si>
    <t xml:space="preserve">Starlink-5483                </t>
  </si>
  <si>
    <t xml:space="preserve">Starlink-2211 </t>
  </si>
  <si>
    <t xml:space="preserve">Starlink-1810 </t>
  </si>
  <si>
    <t xml:space="preserve">Yaogan 32-2B (Remote Sensing Satellite 32-2B)</t>
  </si>
  <si>
    <t xml:space="preserve">Starlink-2121 </t>
  </si>
  <si>
    <t xml:space="preserve">Himawari 8</t>
  </si>
  <si>
    <t xml:space="preserve">Shijian 6B (SJ-6B)</t>
  </si>
  <si>
    <t xml:space="preserve">Hainan-1-01</t>
  </si>
  <si>
    <t xml:space="preserve">Eutelsat 7B </t>
  </si>
  <si>
    <t xml:space="preserve">Starlink-2455 </t>
  </si>
  <si>
    <t xml:space="preserve">OneWeb-0039</t>
  </si>
  <si>
    <t xml:space="preserve">Starlink-3090 </t>
  </si>
  <si>
    <t xml:space="preserve">Xingshidai 5</t>
  </si>
  <si>
    <t xml:space="preserve">Starlink-3712 </t>
  </si>
  <si>
    <t xml:space="preserve">Starlink-2123 </t>
  </si>
  <si>
    <t xml:space="preserve">Starlink-1555 </t>
  </si>
  <si>
    <t xml:space="preserve">Starlink-1071</t>
  </si>
  <si>
    <t xml:space="preserve">JYISat (JO 97)</t>
  </si>
  <si>
    <t xml:space="preserve">Jordan</t>
  </si>
  <si>
    <t xml:space="preserve">Hawk-6B (HawkEye 360 6B)</t>
  </si>
  <si>
    <t xml:space="preserve">XJS-C (New Technology Test Satellite-C)</t>
  </si>
  <si>
    <t xml:space="preserve">SPIRALE-A (Système Préparatoire Infra-Rouge pour l'Alerte)</t>
  </si>
  <si>
    <t xml:space="preserve">Lemur-2 McPeake (Lemur 2F38)</t>
  </si>
  <si>
    <t xml:space="preserve">Starlink-1805 </t>
  </si>
  <si>
    <t xml:space="preserve">Starlink-30050</t>
  </si>
  <si>
    <t xml:space="preserve">NorSat-1</t>
  </si>
  <si>
    <t xml:space="preserve">Norway</t>
  </si>
  <si>
    <t xml:space="preserve">Earth Science/Earth Observation</t>
  </si>
  <si>
    <t xml:space="preserve">Starlink-5109 </t>
  </si>
  <si>
    <t xml:space="preserve">Starlink-5615                </t>
  </si>
  <si>
    <t xml:space="preserve">Advanced Orion 9 (Mentor, NRO L-37, USA 268)</t>
  </si>
  <si>
    <t xml:space="preserve">Starlink-1281</t>
  </si>
  <si>
    <t xml:space="preserve">OneWeb-0370 </t>
  </si>
  <si>
    <t xml:space="preserve">Intelsat 21 (IS-21)</t>
  </si>
  <si>
    <t xml:space="preserve">TacSat 4</t>
  </si>
  <si>
    <t xml:space="preserve">Starlink-3920 </t>
  </si>
  <si>
    <t xml:space="preserve">Starlink-2672</t>
  </si>
  <si>
    <t xml:space="preserve">Starlink-3580 </t>
  </si>
  <si>
    <t xml:space="preserve">BlackSky Global 4</t>
  </si>
  <si>
    <t xml:space="preserve">Dove 4e’-6 (0 Flock 4e'-6 2280)</t>
  </si>
  <si>
    <t xml:space="preserve">Lemur-2 DustInTheWind (Lemur 2FM105) </t>
  </si>
  <si>
    <t xml:space="preserve">Starlink-5204 </t>
  </si>
  <si>
    <t xml:space="preserve">Starlink-5132 </t>
  </si>
  <si>
    <t xml:space="preserve">Reaktor Hello World</t>
  </si>
  <si>
    <t xml:space="preserve">TESS (Transiting Exoplanet Survey Satellite)</t>
  </si>
  <si>
    <t xml:space="preserve">Starlink-1648 </t>
  </si>
  <si>
    <t xml:space="preserve">Starlink-3868 </t>
  </si>
  <si>
    <t xml:space="preserve">Starlink-4746 </t>
  </si>
  <si>
    <t xml:space="preserve">Centauri-1</t>
  </si>
  <si>
    <t xml:space="preserve">Starlink-4154 </t>
  </si>
  <si>
    <t xml:space="preserve">OneWeb-0424 </t>
  </si>
  <si>
    <t xml:space="preserve">OneWeb-0328 </t>
  </si>
  <si>
    <t xml:space="preserve">Starlink-3074 </t>
  </si>
  <si>
    <t xml:space="preserve">HSAT-1</t>
  </si>
  <si>
    <t xml:space="preserve">Starlink-1877 </t>
  </si>
  <si>
    <t xml:space="preserve">Starlink-5679                </t>
  </si>
  <si>
    <t xml:space="preserve">OneWeb-0207 </t>
  </si>
  <si>
    <t xml:space="preserve">NIt (Noorul Islam University Satellite)</t>
  </si>
  <si>
    <t xml:space="preserve">Starlink-4783 </t>
  </si>
  <si>
    <t xml:space="preserve">SES-8</t>
  </si>
  <si>
    <t xml:space="preserve">Starlink-2346 </t>
  </si>
  <si>
    <t xml:space="preserve">OneWeb-0616                </t>
  </si>
  <si>
    <t xml:space="preserve">Starlink-2065 </t>
  </si>
  <si>
    <t xml:space="preserve">Starlink-4707 </t>
  </si>
  <si>
    <t xml:space="preserve">Strela 3 (Cosmos 2385)</t>
  </si>
  <si>
    <t xml:space="preserve">Starlink-5737                </t>
  </si>
  <si>
    <t xml:space="preserve">eXCITE (eXperiment for Cellular Integration Technology)</t>
  </si>
  <si>
    <t xml:space="preserve">Starlink-1544 </t>
  </si>
  <si>
    <t xml:space="preserve">Dove 4s-7 (0 Flock 4s-7 2451)</t>
  </si>
  <si>
    <t xml:space="preserve">Tyvak 0129 </t>
  </si>
  <si>
    <t xml:space="preserve">Israel</t>
  </si>
  <si>
    <t xml:space="preserve">Starlink-3319 </t>
  </si>
  <si>
    <t xml:space="preserve">Falconsat-7</t>
  </si>
  <si>
    <t xml:space="preserve">O3b FM17</t>
  </si>
  <si>
    <t xml:space="preserve">GSAT-29</t>
  </si>
  <si>
    <t xml:space="preserve">SMAP (Soil Moisture Active Passive Satellite)</t>
  </si>
  <si>
    <t xml:space="preserve">Starlink-4501</t>
  </si>
  <si>
    <t xml:space="preserve">Dove 4p-11 (0 Flock 4p-11 2231)</t>
  </si>
  <si>
    <t xml:space="preserve">Starlink-2013 </t>
  </si>
  <si>
    <t xml:space="preserve">Starlink-2164 </t>
  </si>
  <si>
    <t xml:space="preserve">Starlink-1461</t>
  </si>
  <si>
    <t xml:space="preserve">NeR</t>
  </si>
  <si>
    <t xml:space="preserve">Sinapore</t>
  </si>
  <si>
    <t xml:space="preserve">Starlink-1726 </t>
  </si>
  <si>
    <t xml:space="preserve">Z-Sat</t>
  </si>
  <si>
    <t xml:space="preserve">KazEOSat-1 (Kazcosmos Earth Observation Satellite)</t>
  </si>
  <si>
    <t xml:space="preserve">Kazakhstan</t>
  </si>
  <si>
    <t xml:space="preserve">Starlink-2405 </t>
  </si>
  <si>
    <t xml:space="preserve">Beiyou-1</t>
  </si>
  <si>
    <t xml:space="preserve">Starlink-4759 </t>
  </si>
  <si>
    <t xml:space="preserve">Starlink-3388 </t>
  </si>
  <si>
    <t xml:space="preserve">OneWeb-0204 </t>
  </si>
  <si>
    <t xml:space="preserve">Starlink-4516</t>
  </si>
  <si>
    <t xml:space="preserve">Intelsat 33 (IS-33)</t>
  </si>
  <si>
    <t xml:space="preserve">Starlink-5189 </t>
  </si>
  <si>
    <t xml:space="preserve">Starlink-3911 </t>
  </si>
  <si>
    <t xml:space="preserve">Starlink-4257 </t>
  </si>
  <si>
    <t xml:space="preserve">IGS-9A (Information Gathering Satellite 9A, IGS Radar Spare)</t>
  </si>
  <si>
    <t xml:space="preserve">YAM-2 (Yet Another Mission)</t>
  </si>
  <si>
    <t xml:space="preserve">Satellite Positioning</t>
  </si>
  <si>
    <t xml:space="preserve">Starlink-5374                </t>
  </si>
  <si>
    <t xml:space="preserve">Starlink-1761 </t>
  </si>
  <si>
    <t xml:space="preserve">XJY-7 (Xinjishu Yanzheng 7)</t>
  </si>
  <si>
    <t xml:space="preserve">Starlink-1288</t>
  </si>
  <si>
    <t xml:space="preserve">MicroMAS-2A (Micro-sized Microwave Atmospheric Satellite)</t>
  </si>
  <si>
    <t xml:space="preserve">Civil/Government</t>
  </si>
  <si>
    <t xml:space="preserve">Starlink-2231</t>
  </si>
  <si>
    <t xml:space="preserve">Starlink-1980 </t>
  </si>
  <si>
    <t xml:space="preserve">Starlink-4583</t>
  </si>
  <si>
    <t xml:space="preserve">Starlink-1499</t>
  </si>
  <si>
    <t xml:space="preserve">Starlink-3981 </t>
  </si>
  <si>
    <t xml:space="preserve">Lotos-S1 806 (Cosmos 2554) </t>
  </si>
  <si>
    <t xml:space="preserve">Thaicom-6</t>
  </si>
  <si>
    <t xml:space="preserve">Thailand</t>
  </si>
  <si>
    <t xml:space="preserve">Lemur-2 Dunlop (Lemur 2F57)</t>
  </si>
  <si>
    <t xml:space="preserve">Starlink-1224</t>
  </si>
  <si>
    <t xml:space="preserve">Starlink-4810 </t>
  </si>
  <si>
    <t xml:space="preserve">Sicral 1A </t>
  </si>
  <si>
    <t xml:space="preserve">Italy</t>
  </si>
  <si>
    <t xml:space="preserve">Starlink-1282</t>
  </si>
  <si>
    <t xml:space="preserve">Lemur-2 Liu-Poh-Chun (Lemur 2F55)</t>
  </si>
  <si>
    <t xml:space="preserve">Starlink-5721                </t>
  </si>
  <si>
    <t xml:space="preserve">OneWeb-0220 </t>
  </si>
  <si>
    <t xml:space="preserve">Starlink-1816 </t>
  </si>
  <si>
    <t xml:space="preserve">Starlink-1971</t>
  </si>
  <si>
    <t xml:space="preserve">Starlink-1656</t>
  </si>
  <si>
    <t xml:space="preserve">Lemur-2 NoobNoob</t>
  </si>
  <si>
    <t xml:space="preserve">Zhongxing 6D (ChinaSat 6D)</t>
  </si>
  <si>
    <t xml:space="preserve">Starlink-2114 </t>
  </si>
  <si>
    <t xml:space="preserve">Starlink-2547 </t>
  </si>
  <si>
    <t xml:space="preserve">Starlink-1903 </t>
  </si>
  <si>
    <t xml:space="preserve">Starlink-3786 </t>
  </si>
  <si>
    <t xml:space="preserve">Starlink-3896 </t>
  </si>
  <si>
    <t xml:space="preserve">OneWeb-0231</t>
  </si>
  <si>
    <t xml:space="preserve">Yaogan 30-21 (Remote Sensing Satellite 30-21)</t>
  </si>
  <si>
    <t xml:space="preserve">Starlink-4012 </t>
  </si>
  <si>
    <t xml:space="preserve">OneWeb-0150 </t>
  </si>
  <si>
    <t xml:space="preserve">OneWeb-0398 </t>
  </si>
  <si>
    <t xml:space="preserve">OneWeb-0017</t>
  </si>
  <si>
    <t xml:space="preserve">Alcomsat (Algerian Communications Satellite)</t>
  </si>
  <si>
    <t xml:space="preserve">Algeria</t>
  </si>
  <si>
    <t xml:space="preserve">Starlink-3743 </t>
  </si>
  <si>
    <t xml:space="preserve">Blagovest-11L (Cosmos 2520)</t>
  </si>
  <si>
    <t xml:space="preserve">Navstar GPS IIR-2 (Navstar SVN 43, PRN 13, USA 132)</t>
  </si>
  <si>
    <t xml:space="preserve">ELO-3 (Eutelsat LEO for Objects-3)</t>
  </si>
  <si>
    <t xml:space="preserve">Starlink-4043 </t>
  </si>
  <si>
    <t xml:space="preserve">Starlink-1456 </t>
  </si>
  <si>
    <t xml:space="preserve">Starlink-4730 </t>
  </si>
  <si>
    <t xml:space="preserve">Zhuhai 1-07 (OHS-4)</t>
  </si>
  <si>
    <t xml:space="preserve">Sirius FM-5</t>
  </si>
  <si>
    <t xml:space="preserve">Starlink-5549</t>
  </si>
  <si>
    <t xml:space="preserve">Starlink-3539 </t>
  </si>
  <si>
    <t xml:space="preserve">Starlink-1280</t>
  </si>
  <si>
    <t xml:space="preserve">PRSS-1 (Pakistan Remote Sensing Satellite-1)</t>
  </si>
  <si>
    <t xml:space="preserve">Pakistan</t>
  </si>
  <si>
    <t xml:space="preserve">Starlink-5245 </t>
  </si>
  <si>
    <t xml:space="preserve">SB-WASS 3-7 (Space Based Wide Area Surveillance System) NOSS 3-7, USA 264, NRO L55, Intruder)</t>
  </si>
  <si>
    <t xml:space="preserve">Chao Fenbianlu Duo Guangpu Chengxiang Weixing (Ultra-resolution multispectral imaging satellite)</t>
  </si>
  <si>
    <t xml:space="preserve">Earth Observation </t>
  </si>
  <si>
    <t xml:space="preserve">Kepler-10 BABY YODA</t>
  </si>
  <si>
    <t xml:space="preserve">HEAD-2A</t>
  </si>
  <si>
    <t xml:space="preserve">Starlink-5326                </t>
  </si>
  <si>
    <t xml:space="preserve">Painani-2</t>
  </si>
  <si>
    <t xml:space="preserve">Yaogan 30-9-1 (Remote Sensing Satellite 30-9-1)</t>
  </si>
  <si>
    <t xml:space="preserve">Starlink-1412</t>
  </si>
  <si>
    <t xml:space="preserve">Starlink-5608                </t>
  </si>
  <si>
    <t xml:space="preserve">OneWeb-0401 </t>
  </si>
  <si>
    <t xml:space="preserve">WildTrackCube-SIMBA (System for Improving Monitoring the Behaviour of Animals)</t>
  </si>
  <si>
    <t xml:space="preserve">Starlink-5979</t>
  </si>
  <si>
    <t xml:space="preserve">OneWeb-0344 </t>
  </si>
  <si>
    <t xml:space="preserve">Keyhole 9 (NRO L82, Advanced KH-11, Evolved Improved Crystal Block F2, USA 314)</t>
  </si>
  <si>
    <t xml:space="preserve">Starlink-4508</t>
  </si>
  <si>
    <t xml:space="preserve">Starlink-5714                </t>
  </si>
  <si>
    <t xml:space="preserve">OneWeb-0346 </t>
  </si>
  <si>
    <t xml:space="preserve">Starlink-1086</t>
  </si>
  <si>
    <t xml:space="preserve">PolyITAN-HP-30</t>
  </si>
  <si>
    <t xml:space="preserve">Ukraine</t>
  </si>
  <si>
    <t xml:space="preserve">X37-B OTV-6 (AFSPC 7, USA 299)</t>
  </si>
  <si>
    <t xml:space="preserve">Starlink-4670</t>
  </si>
  <si>
    <t xml:space="preserve">OneWeb-0211</t>
  </si>
  <si>
    <t xml:space="preserve">Starlink-3045 </t>
  </si>
  <si>
    <t xml:space="preserve">DirecTV-11</t>
  </si>
  <si>
    <t xml:space="preserve">Starlink-3556 </t>
  </si>
  <si>
    <t xml:space="preserve">OneWeb-0435</t>
  </si>
  <si>
    <t xml:space="preserve">Navstar GPS IIR-M-3 (Navstar SVN 58, PRN 12, USA 192)</t>
  </si>
  <si>
    <t xml:space="preserve">GEO IK2 12L (Cosmos 2517)</t>
  </si>
  <si>
    <t xml:space="preserve">Echostar 11</t>
  </si>
  <si>
    <t xml:space="preserve">Starlink-1393</t>
  </si>
  <si>
    <t xml:space="preserve">INNOSat-2 (Innovation Satellite-2)</t>
  </si>
  <si>
    <t xml:space="preserve">Starlink-2559 </t>
  </si>
  <si>
    <t xml:space="preserve">Yunhai-2 05</t>
  </si>
  <si>
    <t xml:space="preserve">Rodnik (Cosmos 2509, Strela 3M)</t>
  </si>
  <si>
    <t xml:space="preserve">Starlink-4683</t>
  </si>
  <si>
    <t xml:space="preserve">Starlink-3946 </t>
  </si>
  <si>
    <t xml:space="preserve">Telstar 11N</t>
  </si>
  <si>
    <t xml:space="preserve">Dove 3r-11 (0 Flock 3R-11 1064)</t>
  </si>
  <si>
    <t xml:space="preserve">UVSQ-Sat</t>
  </si>
  <si>
    <t xml:space="preserve">Beidou DW 40</t>
  </si>
  <si>
    <t xml:space="preserve">Tianyuan 1</t>
  </si>
  <si>
    <t xml:space="preserve">O3b FM07</t>
  </si>
  <si>
    <t xml:space="preserve">Starlink-5593                </t>
  </si>
  <si>
    <t xml:space="preserve">Tianhui-2 02-02</t>
  </si>
  <si>
    <t xml:space="preserve">Shijian 11-03 (SJ-11-03)</t>
  </si>
  <si>
    <t xml:space="preserve">OneWeb-0396 </t>
  </si>
  <si>
    <t xml:space="preserve">Starlink-1265</t>
  </si>
  <si>
    <t xml:space="preserve">Starlink-4533 </t>
  </si>
  <si>
    <t xml:space="preserve">Starlink-1217</t>
  </si>
  <si>
    <t xml:space="preserve">Starlink-5446 </t>
  </si>
  <si>
    <t xml:space="preserve">Starlink-3819 </t>
  </si>
  <si>
    <t xml:space="preserve">Lemur-2 Chris (Lemur 2F4)</t>
  </si>
  <si>
    <t xml:space="preserve">Starlink-6109                </t>
  </si>
  <si>
    <t xml:space="preserve">CLIO (USA 257)</t>
  </si>
  <si>
    <t xml:space="preserve">Eutelsat 133 West A (Eutelsat 33C, Eutelsat 28A, Eurobird 1, Eurosat 1)</t>
  </si>
  <si>
    <t xml:space="preserve">Al Yah-3</t>
  </si>
  <si>
    <t xml:space="preserve">United Arab Emirates</t>
  </si>
  <si>
    <t xml:space="preserve">Beidou 2-18 (Compass G-7)</t>
  </si>
  <si>
    <t xml:space="preserve">Starlink-3908 </t>
  </si>
  <si>
    <t xml:space="preserve">PRISMA (PRecursore IperSpettrale della Missione Applicativa)</t>
  </si>
  <si>
    <t xml:space="preserve">Skynet 4E </t>
  </si>
  <si>
    <t xml:space="preserve">Starlink-3545 </t>
  </si>
  <si>
    <t xml:space="preserve">S-Net-4</t>
  </si>
  <si>
    <t xml:space="preserve">Starlink-3783 </t>
  </si>
  <si>
    <t xml:space="preserve">Starlink-2076 </t>
  </si>
  <si>
    <t xml:space="preserve">AprizeSat 9 (exactView-11)</t>
  </si>
  <si>
    <t xml:space="preserve">SpaceBEE-132</t>
  </si>
  <si>
    <t xml:space="preserve">Starlink-2510 </t>
  </si>
  <si>
    <t xml:space="preserve">WFOV Testbed (Wide Field of View Testbed, USSF 12)</t>
  </si>
  <si>
    <t xml:space="preserve">RAVAN (Radiometer Assessment using Vertically Aligned Nanotubes)</t>
  </si>
  <si>
    <t xml:space="preserve">Grace Follow-on-2 (Gravity Recovery and Climate Experiment Follow-on-2)</t>
  </si>
  <si>
    <t xml:space="preserve">USA/Germany</t>
  </si>
  <si>
    <t xml:space="preserve">Wideband Global Satcom 7 (WGS-7, USA 263)</t>
  </si>
  <si>
    <t xml:space="preserve">ÑuSat-11 (Cora)</t>
  </si>
  <si>
    <t xml:space="preserve">Starlink-5084 </t>
  </si>
  <si>
    <t xml:space="preserve">Starlink-3052 </t>
  </si>
  <si>
    <t xml:space="preserve">Starlink-1585 </t>
  </si>
  <si>
    <t xml:space="preserve">ArSat 1</t>
  </si>
  <si>
    <t xml:space="preserve">Starlink-3294 </t>
  </si>
  <si>
    <t xml:space="preserve">Jin Zijing 6</t>
  </si>
  <si>
    <t xml:space="preserve">Starlink-3983 </t>
  </si>
  <si>
    <t xml:space="preserve">SpaceBEE-NZ7</t>
  </si>
  <si>
    <t xml:space="preserve">Merah Putih (Telkom 4)</t>
  </si>
  <si>
    <t xml:space="preserve">Indonesia</t>
  </si>
  <si>
    <t xml:space="preserve">ÑuSat-35 (Williamina)</t>
  </si>
  <si>
    <t xml:space="preserve">Lemur-2 Satchmo (Lemur 2-F24)</t>
  </si>
  <si>
    <t xml:space="preserve">Starlink-2439 </t>
  </si>
  <si>
    <t xml:space="preserve">Starlink-3340 </t>
  </si>
  <si>
    <t xml:space="preserve">OneWeb-0250</t>
  </si>
  <si>
    <t xml:space="preserve">SB-WASS 3-5 (Space Based Wide Area Surveillance System) NOSS 3-5, USA 229, NRO L34, Intruder)</t>
  </si>
  <si>
    <t xml:space="preserve">Starlink-2474 </t>
  </si>
  <si>
    <t xml:space="preserve">Starlink-4198 </t>
  </si>
  <si>
    <t xml:space="preserve">Starlink-1785 </t>
  </si>
  <si>
    <t xml:space="preserve">Kompsat-3A (Arirang 3A, Korean Multipurpose Satellite-3A)</t>
  </si>
  <si>
    <t xml:space="preserve">Starlink-2632</t>
  </si>
  <si>
    <t xml:space="preserve">Starlink-4670 </t>
  </si>
  <si>
    <t xml:space="preserve">Starlink-1146</t>
  </si>
  <si>
    <t xml:space="preserve">Nimiq 5</t>
  </si>
  <si>
    <t xml:space="preserve">Beesat-6 (Berlin Experimental and Educational Satellite-6)</t>
  </si>
  <si>
    <t xml:space="preserve">Yaogan 16B (Remote Sensing Satellite 16B)</t>
  </si>
  <si>
    <t xml:space="preserve">OneWeb-0113 </t>
  </si>
  <si>
    <t xml:space="preserve">Starlink-3119 </t>
  </si>
  <si>
    <t xml:space="preserve">Tyvak 0210</t>
  </si>
  <si>
    <t xml:space="preserve">SpaceBEE-142 </t>
  </si>
  <si>
    <t xml:space="preserve">Kepler-21</t>
  </si>
  <si>
    <t xml:space="preserve">Starlink-1825 </t>
  </si>
  <si>
    <t xml:space="preserve">Starlink-3141 </t>
  </si>
  <si>
    <t xml:space="preserve">Starlink-4564</t>
  </si>
  <si>
    <t xml:space="preserve">Iridium Next SV 126</t>
  </si>
  <si>
    <t xml:space="preserve">Starlink-1769</t>
  </si>
  <si>
    <t xml:space="preserve">Starlink-5997</t>
  </si>
  <si>
    <t xml:space="preserve">Starlink-2162 </t>
  </si>
  <si>
    <t xml:space="preserve">OneWeb-0663                </t>
  </si>
  <si>
    <t xml:space="preserve">Starlink-2487 </t>
  </si>
  <si>
    <t xml:space="preserve">Starlink-1983 </t>
  </si>
  <si>
    <t xml:space="preserve">Starlink-2609</t>
  </si>
  <si>
    <t xml:space="preserve">Starlink-4293 </t>
  </si>
  <si>
    <t xml:space="preserve">Starlink-4111 </t>
  </si>
  <si>
    <t xml:space="preserve">Starlink-2112 </t>
  </si>
  <si>
    <t xml:space="preserve">Starlink-5717                </t>
  </si>
  <si>
    <t xml:space="preserve">Starlink-4179 </t>
  </si>
  <si>
    <t xml:space="preserve">OneWeb-0363 </t>
  </si>
  <si>
    <t xml:space="preserve">Navstar GPS IIF-8 (Navstar SVN 69, PRN 03, USA 258)</t>
  </si>
  <si>
    <t xml:space="preserve">NROL-85 (USA 327)</t>
  </si>
  <si>
    <t xml:space="preserve">Dove 4p-4 (0 Flock 4p-4 2310)</t>
  </si>
  <si>
    <t xml:space="preserve">Starlink-3570 </t>
  </si>
  <si>
    <t xml:space="preserve">Yaogan 30-3-3 (Remote Sensing Satellite 30-3-3)</t>
  </si>
  <si>
    <t xml:space="preserve">Starlink-2240</t>
  </si>
  <si>
    <t xml:space="preserve">GRUS-1B</t>
  </si>
  <si>
    <t xml:space="preserve">Hawk-4B (HawkEye 360 4B)</t>
  </si>
  <si>
    <t xml:space="preserve">Starlink-5344                </t>
  </si>
  <si>
    <t xml:space="preserve">Fengyun 4B (FY 4B)</t>
  </si>
  <si>
    <t xml:space="preserve">SkySat-7 (SkySat C3, S103)</t>
  </si>
  <si>
    <t xml:space="preserve">Starlink-1131</t>
  </si>
  <si>
    <t xml:space="preserve">Starlink-3111 </t>
  </si>
  <si>
    <t xml:space="preserve">Glonass 705 (Glonass M, Cosmos 2547)</t>
  </si>
  <si>
    <t xml:space="preserve">Starlink-4148 </t>
  </si>
  <si>
    <t xml:space="preserve">Starlink-2495 </t>
  </si>
  <si>
    <t xml:space="preserve">Starlink-1500</t>
  </si>
  <si>
    <t xml:space="preserve">NEMO-HD</t>
  </si>
  <si>
    <t xml:space="preserve">Slovenia</t>
  </si>
  <si>
    <t xml:space="preserve">Starlink-4739 </t>
  </si>
  <si>
    <t xml:space="preserve">Galaxy-33</t>
  </si>
  <si>
    <t xml:space="preserve">Starlink-3961 </t>
  </si>
  <si>
    <t xml:space="preserve">Yaogan 26 (Remote Sensing Satellite 26)</t>
  </si>
  <si>
    <t xml:space="preserve">Starlink-4047 </t>
  </si>
  <si>
    <t xml:space="preserve">Starlink-2447 </t>
  </si>
  <si>
    <t xml:space="preserve">XW-2D (CAS-3D)</t>
  </si>
  <si>
    <t xml:space="preserve">MMS-2 (Magnetospheric Multiscale Mission)</t>
  </si>
  <si>
    <t xml:space="preserve">Lemur-2 Jin-Luen (Lemur 2F76)</t>
  </si>
  <si>
    <t xml:space="preserve">Amsat-Oscar 7 (AO-7)</t>
  </si>
  <si>
    <t xml:space="preserve">Eutelsat 3B</t>
  </si>
  <si>
    <t xml:space="preserve">Glonass 756 (Glonass-M, Cosmos 2527)</t>
  </si>
  <si>
    <t xml:space="preserve">Starlink-5641                </t>
  </si>
  <si>
    <t xml:space="preserve">Starlink-2646</t>
  </si>
  <si>
    <t xml:space="preserve">OneWeb-0320 </t>
  </si>
  <si>
    <t xml:space="preserve">O3b PFM</t>
  </si>
  <si>
    <t xml:space="preserve">Starlink-2481 </t>
  </si>
  <si>
    <t xml:space="preserve">Velox 2</t>
  </si>
  <si>
    <t xml:space="preserve">Singapore</t>
  </si>
  <si>
    <t xml:space="preserve">OneWeb-0176 </t>
  </si>
  <si>
    <t xml:space="preserve">Starlink-5498                </t>
  </si>
  <si>
    <t xml:space="preserve">Beidou 3M-1S</t>
  </si>
  <si>
    <t xml:space="preserve">Ofeq 16</t>
  </si>
  <si>
    <t xml:space="preserve">OneWeb-0305</t>
  </si>
  <si>
    <t xml:space="preserve">Gonets M-16</t>
  </si>
  <si>
    <t xml:space="preserve">SES-1 (AMC-4R)</t>
  </si>
  <si>
    <t xml:space="preserve">Starlink-3939 </t>
  </si>
  <si>
    <t xml:space="preserve">OneWeb-0444</t>
  </si>
  <si>
    <t xml:space="preserve">JCSat 14 (JCSat 2B, Japan Communications Satellite 14)</t>
  </si>
  <si>
    <t xml:space="preserve">Aerocube 14A</t>
  </si>
  <si>
    <t xml:space="preserve">NROL-129 (USA 305)</t>
  </si>
  <si>
    <t xml:space="preserve">Starlink-5801                </t>
  </si>
  <si>
    <t xml:space="preserve">Starlink-3527 </t>
  </si>
  <si>
    <t xml:space="preserve">Starlink-1646</t>
  </si>
  <si>
    <t xml:space="preserve">Starlink-1397</t>
  </si>
  <si>
    <t xml:space="preserve">Beesat-7 (Berlin Experimental and Educational Satellite-7)</t>
  </si>
  <si>
    <t xml:space="preserve">Starlink-3208 </t>
  </si>
  <si>
    <t xml:space="preserve">OneWeb-0554                </t>
  </si>
  <si>
    <t xml:space="preserve">SpaceBEE-119</t>
  </si>
  <si>
    <t xml:space="preserve">Starlink-2152 </t>
  </si>
  <si>
    <t xml:space="preserve">Starlink-2452 </t>
  </si>
  <si>
    <t xml:space="preserve">Starlink-2384 </t>
  </si>
  <si>
    <t xml:space="preserve">Starlink-3637 </t>
  </si>
  <si>
    <t xml:space="preserve">Perseus M1</t>
  </si>
  <si>
    <t xml:space="preserve">Starlink-5110 </t>
  </si>
  <si>
    <t xml:space="preserve">Starlink-2757</t>
  </si>
  <si>
    <t xml:space="preserve">SBIRS GEO 3 (Space Based Infrared System Geosynchronous 3, USA 273)</t>
  </si>
  <si>
    <t xml:space="preserve">Lemur-2 KarenB</t>
  </si>
  <si>
    <t xml:space="preserve">Starlink-30060               </t>
  </si>
  <si>
    <t xml:space="preserve">Starlink-5739                </t>
  </si>
  <si>
    <t xml:space="preserve">ÑuSat-24 (Kaplana Chawla)</t>
  </si>
  <si>
    <t xml:space="preserve">OneWeb-0117 </t>
  </si>
  <si>
    <t xml:space="preserve">SCD-2 (Satélite de Coleta de Dados)</t>
  </si>
  <si>
    <t xml:space="preserve">Starlink-2647</t>
  </si>
  <si>
    <t xml:space="preserve">Starlink-5899                </t>
  </si>
  <si>
    <t xml:space="preserve">Starlink-2106 </t>
  </si>
  <si>
    <t xml:space="preserve">Starlink-1661</t>
  </si>
  <si>
    <t xml:space="preserve">OneWeb-0051</t>
  </si>
  <si>
    <t xml:space="preserve">Starlink-2502 </t>
  </si>
  <si>
    <t xml:space="preserve">Starlink-5092                </t>
  </si>
  <si>
    <t xml:space="preserve">Lemur-2 Jindra (Lemur 2F127)</t>
  </si>
  <si>
    <t xml:space="preserve">Starlink-4717</t>
  </si>
  <si>
    <t xml:space="preserve">OneWeb-0383 </t>
  </si>
  <si>
    <t xml:space="preserve">Starlink-3194 </t>
  </si>
  <si>
    <t xml:space="preserve">Starlink-3121 </t>
  </si>
  <si>
    <t xml:space="preserve">OneWeb-0560                </t>
  </si>
  <si>
    <t xml:space="preserve">Starlink-5964                </t>
  </si>
  <si>
    <t xml:space="preserve">Lemur-2 JohanLoran (Lemur FM97)</t>
  </si>
  <si>
    <t xml:space="preserve">Starlink-4354 </t>
  </si>
  <si>
    <t xml:space="preserve">INS-2TD </t>
  </si>
  <si>
    <t xml:space="preserve">Dove 4e’-3 (0 Flock 4e'-3 2251)</t>
  </si>
  <si>
    <t xml:space="preserve">Starlink-4556</t>
  </si>
  <si>
    <t xml:space="preserve">DirecTV-14</t>
  </si>
  <si>
    <t xml:space="preserve">Starlink-4137 </t>
  </si>
  <si>
    <t xml:space="preserve">Starlink-1061</t>
  </si>
  <si>
    <t xml:space="preserve">Azerspace 1/Africasat-1a</t>
  </si>
  <si>
    <t xml:space="preserve">Azerbaijan</t>
  </si>
  <si>
    <t xml:space="preserve">Lemur-2 DaisyHarper (Lemur 2F95)</t>
  </si>
  <si>
    <t xml:space="preserve">Tianmu-1 05</t>
  </si>
  <si>
    <t xml:space="preserve">Anik F2 </t>
  </si>
  <si>
    <t xml:space="preserve">Starlink-3598 </t>
  </si>
  <si>
    <t xml:space="preserve">OneWeb-0347 </t>
  </si>
  <si>
    <t xml:space="preserve">Starlink-2756</t>
  </si>
  <si>
    <t xml:space="preserve">Starlink-3948 </t>
  </si>
  <si>
    <t xml:space="preserve">SES-5 (Sirius 5, Astra 4B)</t>
  </si>
  <si>
    <t xml:space="preserve">Quantum Science Satellite (QSS, Micius, Mozi)</t>
  </si>
  <si>
    <t xml:space="preserve">Starlink-5296                </t>
  </si>
  <si>
    <t xml:space="preserve">Starlink-1021</t>
  </si>
  <si>
    <t xml:space="preserve">Starlink-5447 </t>
  </si>
  <si>
    <t xml:space="preserve">Tianqi-4A</t>
  </si>
  <si>
    <t xml:space="preserve">Starlink-3346 </t>
  </si>
  <si>
    <t xml:space="preserve">Starlink-3810 </t>
  </si>
  <si>
    <t xml:space="preserve">Starlink-3918 </t>
  </si>
  <si>
    <t xml:space="preserve">Starlink-4640 </t>
  </si>
  <si>
    <t xml:space="preserve">Luch 5B</t>
  </si>
  <si>
    <t xml:space="preserve">SpaceBEE-NZ8</t>
  </si>
  <si>
    <t xml:space="preserve">Dove 4s-3 (0 Flock 4s-3 2433)</t>
  </si>
  <si>
    <t xml:space="preserve">Starlink-5269 </t>
  </si>
  <si>
    <t xml:space="preserve">Foshan 1</t>
  </si>
  <si>
    <t xml:space="preserve">Starlink-5161 </t>
  </si>
  <si>
    <t xml:space="preserve">Kepler-14 STELLA</t>
  </si>
  <si>
    <t xml:space="preserve">Dove 4x-16 (0 Flock 4x-16 2484)</t>
  </si>
  <si>
    <t xml:space="preserve">Starlink-4531 </t>
  </si>
  <si>
    <t xml:space="preserve">Starlink-30065               </t>
  </si>
  <si>
    <t xml:space="preserve">Iridium Next SV 158</t>
  </si>
  <si>
    <t xml:space="preserve">Starlink-3877 </t>
  </si>
  <si>
    <t xml:space="preserve">Lemur-2 SarahBettyBoo (Lemur 2F93)</t>
  </si>
  <si>
    <t xml:space="preserve">SORTIE (Scintillation Observations and Response of the Ionosphere to Electrodynamics)</t>
  </si>
  <si>
    <t xml:space="preserve">Dove 3r-9 (0 Flock 3R-9 1061)</t>
  </si>
  <si>
    <t xml:space="preserve">Samba (part of Cluster quartet, Cluster 2 FM7)</t>
  </si>
  <si>
    <t xml:space="preserve">Starlink-4546 </t>
  </si>
  <si>
    <t xml:space="preserve">Starlink-30089</t>
  </si>
  <si>
    <t xml:space="preserve">Hainan-1-02</t>
  </si>
  <si>
    <t xml:space="preserve">MEV-1 (Mission Extension Vehicle-1) </t>
  </si>
  <si>
    <t xml:space="preserve">Mission Extension Technology</t>
  </si>
  <si>
    <t xml:space="preserve">Lotos-S1 804 (Cosmos 2528)</t>
  </si>
  <si>
    <t xml:space="preserve">Starlink-2031 </t>
  </si>
  <si>
    <t xml:space="preserve">Qilu 2</t>
  </si>
  <si>
    <t xml:space="preserve">Tianhui 1-02</t>
  </si>
  <si>
    <t xml:space="preserve">Meteor-M 2.2</t>
  </si>
  <si>
    <t xml:space="preserve">Starlink-2400 </t>
  </si>
  <si>
    <t xml:space="preserve">Starlink-2610</t>
  </si>
  <si>
    <t xml:space="preserve">Starlink-1238</t>
  </si>
  <si>
    <t xml:space="preserve">Starlink-2406 </t>
  </si>
  <si>
    <t xml:space="preserve">OreSat0</t>
  </si>
  <si>
    <t xml:space="preserve">TianLian 3 (TL-1-03, CTDRS)</t>
  </si>
  <si>
    <t xml:space="preserve">Starlink-2742</t>
  </si>
  <si>
    <t xml:space="preserve">Starlink-4254 </t>
  </si>
  <si>
    <t xml:space="preserve">Starlink-2462 </t>
  </si>
  <si>
    <t xml:space="preserve">Starlink-1497 </t>
  </si>
  <si>
    <t xml:space="preserve">Velox C1</t>
  </si>
  <si>
    <t xml:space="preserve">Cubebug 2 (Manolito, LO-74)</t>
  </si>
  <si>
    <t xml:space="preserve">Starlink-3219 </t>
  </si>
  <si>
    <t xml:space="preserve">Baoyun</t>
  </si>
  <si>
    <t xml:space="preserve">Unknown</t>
  </si>
  <si>
    <t xml:space="preserve">Starlink-4024 </t>
  </si>
  <si>
    <t xml:space="preserve">Lemur-2 Gustavo (Lemur 2F89)</t>
  </si>
  <si>
    <t xml:space="preserve">Starlink-1084</t>
  </si>
  <si>
    <t xml:space="preserve">Starlink-2741</t>
  </si>
  <si>
    <t xml:space="preserve">Yaogan 31-3-1 (Remote Sensing Satellite 31-3-1)</t>
  </si>
  <si>
    <t xml:space="preserve">Starlink-1927 </t>
  </si>
  <si>
    <t xml:space="preserve">TJS-5 (Tongxin Jishu Shiyan 5)</t>
  </si>
  <si>
    <t xml:space="preserve">Lemur-2 Nichol (Lemur FM122)</t>
  </si>
  <si>
    <t xml:space="preserve">Starlink-4035 </t>
  </si>
  <si>
    <t xml:space="preserve">ÑuSat-14 (Hedy)</t>
  </si>
  <si>
    <t xml:space="preserve">Starlink-2542 </t>
  </si>
  <si>
    <t xml:space="preserve">Dove 4v-4 (0 Flock 4v-4 2274)</t>
  </si>
  <si>
    <t xml:space="preserve">GSAT-14</t>
  </si>
  <si>
    <t xml:space="preserve">Starlink-5042 </t>
  </si>
  <si>
    <t xml:space="preserve">SpaceBEE-100</t>
  </si>
  <si>
    <t xml:space="preserve">Starlink-2379 </t>
  </si>
  <si>
    <t xml:space="preserve">Starlink-4542 </t>
  </si>
  <si>
    <t xml:space="preserve">Starlink-4795 </t>
  </si>
  <si>
    <t xml:space="preserve">ICON (Ionospheric Connection Explorer) </t>
  </si>
  <si>
    <t xml:space="preserve">Dove 4s-30 (0 Flock 4s-30 2459)</t>
  </si>
  <si>
    <t xml:space="preserve">Star One C1</t>
  </si>
  <si>
    <t xml:space="preserve">RANGE-B (Ranging and Nanosatellite Guidance Experiment)</t>
  </si>
  <si>
    <t xml:space="preserve">OneWeb-0010</t>
  </si>
  <si>
    <t xml:space="preserve">OneWeb-0258</t>
  </si>
  <si>
    <t xml:space="preserve">Xingyun 2-01</t>
  </si>
  <si>
    <t xml:space="preserve">Starlink-1546</t>
  </si>
  <si>
    <t xml:space="preserve">Orbweaver-2</t>
  </si>
  <si>
    <t xml:space="preserve">Glonass 720 (Glonass 36-3, Cosmos 2433)</t>
  </si>
  <si>
    <t xml:space="preserve">Yamal-402</t>
  </si>
  <si>
    <t xml:space="preserve">SpaceBEE-158</t>
  </si>
  <si>
    <t xml:space="preserve">Starlink-2168 </t>
  </si>
  <si>
    <t xml:space="preserve">OneWeb-0301</t>
  </si>
  <si>
    <t xml:space="preserve">Starlink-4738 </t>
  </si>
  <si>
    <t xml:space="preserve">Jilin-1-7 (Shipin 7)</t>
  </si>
  <si>
    <t xml:space="preserve">Tianxing 1</t>
  </si>
  <si>
    <t xml:space="preserve">Zheda Pixing 2A (ZP-2A, ZDP-2A)</t>
  </si>
  <si>
    <t xml:space="preserve">Horyu-2 (High Voltage Technology Demonstration Satellite-2)</t>
  </si>
  <si>
    <t xml:space="preserve">Starlink-4300 </t>
  </si>
  <si>
    <t xml:space="preserve">Dove 3p-50 (0 Flock 3P-50 1034)</t>
  </si>
  <si>
    <t xml:space="preserve">Starlink-3554 </t>
  </si>
  <si>
    <t xml:space="preserve">MOST (Microvariability &amp; Oscillations of STars)</t>
  </si>
  <si>
    <t xml:space="preserve">Starlink-5703                </t>
  </si>
  <si>
    <t xml:space="preserve">Starlink-2026 </t>
  </si>
  <si>
    <t xml:space="preserve">OneWeb-0671                </t>
  </si>
  <si>
    <t xml:space="preserve">Proxima-1</t>
  </si>
  <si>
    <t xml:space="preserve">Starlink-4615</t>
  </si>
  <si>
    <t xml:space="preserve">Starlink-2505</t>
  </si>
  <si>
    <t xml:space="preserve">Dove 3p-34 (0 Flock 3P-34 103B)</t>
  </si>
  <si>
    <t xml:space="preserve">Starlink-1724</t>
  </si>
  <si>
    <t xml:space="preserve">SNUGLITE 2</t>
  </si>
  <si>
    <t xml:space="preserve">Starlink-4679 </t>
  </si>
  <si>
    <t xml:space="preserve">KSM-1C (Kleos Scouting Mission 1C)</t>
  </si>
  <si>
    <t xml:space="preserve">Blagovest-13L (Cosmos 2533)</t>
  </si>
  <si>
    <t xml:space="preserve">Starlink-2471 </t>
  </si>
  <si>
    <t xml:space="preserve">ViaSat-2</t>
  </si>
  <si>
    <t xml:space="preserve">Starlink-3183 </t>
  </si>
  <si>
    <t xml:space="preserve">USA 313 (Smallsat USA 13)</t>
  </si>
  <si>
    <t xml:space="preserve">IXPE (Imaging X-ray Polarimetry Explorer)</t>
  </si>
  <si>
    <t xml:space="preserve">exactView 6 (AprizeSat 6)</t>
  </si>
  <si>
    <t xml:space="preserve">Ladybird 4 (Piao chong 4)</t>
  </si>
  <si>
    <t xml:space="preserve">Starlink-2524 </t>
  </si>
  <si>
    <t xml:space="preserve">OneWeb-0627                </t>
  </si>
  <si>
    <t xml:space="preserve">Starlink-4602</t>
  </si>
  <si>
    <t xml:space="preserve">Gonets M-12 (Gonets M22)</t>
  </si>
  <si>
    <t xml:space="preserve">Starlink-1882 </t>
  </si>
  <si>
    <t xml:space="preserve">Keyhole 8 (NRO L71, Advanced KH-11, Improved Crystal Block 5, USA 290)</t>
  </si>
  <si>
    <t xml:space="preserve">Starlink-4070 </t>
  </si>
  <si>
    <t xml:space="preserve">IRIS-C (interface Region Imaging Spectrometer-C)</t>
  </si>
  <si>
    <t xml:space="preserve">BKA 2 (BelKA 2)</t>
  </si>
  <si>
    <t xml:space="preserve">Belarus</t>
  </si>
  <si>
    <t xml:space="preserve">Nilesat 201</t>
  </si>
  <si>
    <t xml:space="preserve">Egypt</t>
  </si>
  <si>
    <t xml:space="preserve">Starlink-4295 </t>
  </si>
  <si>
    <t xml:space="preserve">Advanced Orion 7 (Mentor, NRO L-32, USA 223)</t>
  </si>
  <si>
    <t xml:space="preserve">Lemur-2 John-Treires </t>
  </si>
  <si>
    <t xml:space="preserve">SB-WASS 3-3 (Space Based Wide Area Surveillance System) (NOSS 3-3, USA 181, NRO L23, Intruder) </t>
  </si>
  <si>
    <t xml:space="preserve">Starlink-5809                </t>
  </si>
  <si>
    <t xml:space="preserve">Starlink-5331                </t>
  </si>
  <si>
    <t xml:space="preserve">Starlink-1834 </t>
  </si>
  <si>
    <t xml:space="preserve">Starlink-1446</t>
  </si>
  <si>
    <t xml:space="preserve">Gaofen 5-02</t>
  </si>
  <si>
    <t xml:space="preserve">Starlink-2337 </t>
  </si>
  <si>
    <t xml:space="preserve">SPARTAN</t>
  </si>
  <si>
    <t xml:space="preserve">Bulgaria</t>
  </si>
  <si>
    <t xml:space="preserve">GSAT-7A</t>
  </si>
  <si>
    <t xml:space="preserve">Starlink-4315 </t>
  </si>
  <si>
    <t xml:space="preserve">Kanopus-B (Kanopus Vulcan 1) </t>
  </si>
  <si>
    <t xml:space="preserve">Starlink-1376</t>
  </si>
  <si>
    <t xml:space="preserve">NuSTAR (Nuclear Spectroscopic Telescope Array)</t>
  </si>
  <si>
    <t xml:space="preserve">Starlink-1931 </t>
  </si>
  <si>
    <t xml:space="preserve">Starlink-4139 </t>
  </si>
  <si>
    <t xml:space="preserve">Starlink-5370                </t>
  </si>
  <si>
    <t xml:space="preserve">Starlink-1693 </t>
  </si>
  <si>
    <t xml:space="preserve">Rodnik (Cosmos 2438, Strela 3M)</t>
  </si>
  <si>
    <t xml:space="preserve">Dove 4s-4 (0 Flock 4s-4 242B)</t>
  </si>
  <si>
    <t xml:space="preserve">Amazonas-2</t>
  </si>
  <si>
    <t xml:space="preserve">TianLian 2-01 (TL-2-01, CTDRS)</t>
  </si>
  <si>
    <t xml:space="preserve">OneWeb-0322 </t>
  </si>
  <si>
    <t xml:space="preserve">GOES 18 (Geostationary Operational Environmental Satellite GOES-T)</t>
  </si>
  <si>
    <t xml:space="preserve">Starlink-4063 </t>
  </si>
  <si>
    <t xml:space="preserve">Starlink-4039 </t>
  </si>
  <si>
    <t xml:space="preserve">Glonass (Glonass-M, Cosmos 2559)</t>
  </si>
  <si>
    <t xml:space="preserve">ICEYE-X10 (ICEYE POC 10, XR1)</t>
  </si>
  <si>
    <t xml:space="preserve">Kompsat-2 (Arirang 2, Korean planned Multipurpose Satellite-2)</t>
  </si>
  <si>
    <t xml:space="preserve">Apstar 9</t>
  </si>
  <si>
    <t xml:space="preserve">Starlink-1293</t>
  </si>
  <si>
    <t xml:space="preserve">Starlink-5894               </t>
  </si>
  <si>
    <t xml:space="preserve">OneWeb-0316</t>
  </si>
  <si>
    <t xml:space="preserve">Starlink-3460 </t>
  </si>
  <si>
    <t xml:space="preserve">Gaofen 3 </t>
  </si>
  <si>
    <t xml:space="preserve">Lemur-2 TinyKev (Lemur 2F92) </t>
  </si>
  <si>
    <t xml:space="preserve">ÑuSat-12 (Dorothy)</t>
  </si>
  <si>
    <t xml:space="preserve">Bangabandhu 1 </t>
  </si>
  <si>
    <t xml:space="preserve">Bangladesh</t>
  </si>
  <si>
    <t xml:space="preserve">Starlink-1297</t>
  </si>
  <si>
    <t xml:space="preserve">Measat 3B (Malaysia East Asia Sat 3B)</t>
  </si>
  <si>
    <t xml:space="preserve">Starlink-1348</t>
  </si>
  <si>
    <t xml:space="preserve">Starlink-3953 </t>
  </si>
  <si>
    <t xml:space="preserve">Starlink-1490 </t>
  </si>
  <si>
    <t xml:space="preserve">UK-DMC-2 (BNSCSat-2, British National Science Center Satellite 2)</t>
  </si>
  <si>
    <t xml:space="preserve">Dove 4x-42 (0 Flock 4x-42 2480)</t>
  </si>
  <si>
    <t xml:space="preserve">OneWeb-0321 </t>
  </si>
  <si>
    <t xml:space="preserve">OneWeb-0617                </t>
  </si>
  <si>
    <t xml:space="preserve">Starlink-1026</t>
  </si>
  <si>
    <t xml:space="preserve">El Camino Real (Momentus X1)</t>
  </si>
  <si>
    <t xml:space="preserve">DeMi (Deformable Mirror)</t>
  </si>
  <si>
    <t xml:space="preserve">Starlink-5367</t>
  </si>
  <si>
    <t xml:space="preserve">EOS-4 (Earth Observing Satellite 1A, RISAT 1A)</t>
  </si>
  <si>
    <t xml:space="preserve">SpaceBEE-162</t>
  </si>
  <si>
    <t xml:space="preserve">Starlink-4207 </t>
  </si>
  <si>
    <t xml:space="preserve">Starlink-1369</t>
  </si>
  <si>
    <t xml:space="preserve">Starlink-2417 </t>
  </si>
  <si>
    <t xml:space="preserve">IGS-8A (Information Gathering Satellite 8A, IGS Radar 4)</t>
  </si>
  <si>
    <t xml:space="preserve">DMC 3-3 (Disaster Monitoring Constellation)</t>
  </si>
  <si>
    <t xml:space="preserve">Starlink-2038 </t>
  </si>
  <si>
    <t xml:space="preserve">Starlink-4715 </t>
  </si>
  <si>
    <t xml:space="preserve">Starlink-3651 </t>
  </si>
  <si>
    <t xml:space="preserve">Dove 4x-22 (0 Flock 4x-22 2479)</t>
  </si>
  <si>
    <t xml:space="preserve">Starlink-1134</t>
  </si>
  <si>
    <t xml:space="preserve">Jin Zijing 1-03</t>
  </si>
  <si>
    <t xml:space="preserve">Starlink-4552 </t>
  </si>
  <si>
    <t xml:space="preserve">Yamal-601</t>
  </si>
  <si>
    <t xml:space="preserve">Starlink-2729</t>
  </si>
  <si>
    <t xml:space="preserve">Astra 3B</t>
  </si>
  <si>
    <t xml:space="preserve">Starlink-2378 </t>
  </si>
  <si>
    <t xml:space="preserve">Jilin-1 GaoFen 03D-06</t>
  </si>
  <si>
    <t xml:space="preserve">Starlink-4337 </t>
  </si>
  <si>
    <t xml:space="preserve">Venµs</t>
  </si>
  <si>
    <t xml:space="preserve">France/Israel</t>
  </si>
  <si>
    <t xml:space="preserve">Starlink-4482</t>
  </si>
  <si>
    <t xml:space="preserve">Starlink-2365 </t>
  </si>
  <si>
    <t xml:space="preserve">Dove 4y-14 (0 Flock 4y14 24b3)</t>
  </si>
  <si>
    <t xml:space="preserve">Tianqi-13</t>
  </si>
  <si>
    <t xml:space="preserve">Siwei 02 (SuperView Neo 1-02)</t>
  </si>
  <si>
    <t xml:space="preserve">IRNSS-1E (Indian Regional Navigation Satellite System)</t>
  </si>
  <si>
    <t xml:space="preserve">Starlink-3080 </t>
  </si>
  <si>
    <t xml:space="preserve">Starlink-1653</t>
  </si>
  <si>
    <t xml:space="preserve">Starlink-2432 </t>
  </si>
  <si>
    <t xml:space="preserve">OneWeb-0429 </t>
  </si>
  <si>
    <t xml:space="preserve">Eutelsat Hotbird 13G</t>
  </si>
  <si>
    <t xml:space="preserve">SpaceBEE-141 </t>
  </si>
  <si>
    <t xml:space="preserve">Starlink-1375</t>
  </si>
  <si>
    <t xml:space="preserve">Starlink-3601 </t>
  </si>
  <si>
    <t xml:space="preserve">Rising-2</t>
  </si>
  <si>
    <t xml:space="preserve">Apstar 6D</t>
  </si>
  <si>
    <t xml:space="preserve">Starlink-1942 </t>
  </si>
  <si>
    <t xml:space="preserve">STORK-3</t>
  </si>
  <si>
    <t xml:space="preserve">Poland</t>
  </si>
  <si>
    <t xml:space="preserve">W-Cube</t>
  </si>
  <si>
    <t xml:space="preserve">Starlink-4096 </t>
  </si>
  <si>
    <t xml:space="preserve">Starlink-5751                </t>
  </si>
  <si>
    <t xml:space="preserve">Starlink-4796 </t>
  </si>
  <si>
    <t xml:space="preserve">Starlink-4216  </t>
  </si>
  <si>
    <t xml:space="preserve">Starlink-4747 </t>
  </si>
  <si>
    <t xml:space="preserve">Rodnik (Cosmos 2437, Strela 3M)</t>
  </si>
  <si>
    <t xml:space="preserve">Starlink-3938 </t>
  </si>
  <si>
    <t xml:space="preserve">Starlink-2612</t>
  </si>
  <si>
    <t xml:space="preserve">LaoSat-1</t>
  </si>
  <si>
    <t xml:space="preserve">Laos</t>
  </si>
  <si>
    <t xml:space="preserve">ExoCube-2</t>
  </si>
  <si>
    <t xml:space="preserve">Starlink-2463 </t>
  </si>
  <si>
    <t xml:space="preserve">Sich-2-1 (Sich 2-30)</t>
  </si>
  <si>
    <t xml:space="preserve">Dove 3p-57 (0 Flock 3P-57 1014)</t>
  </si>
  <si>
    <t xml:space="preserve">Starlink-1507 </t>
  </si>
  <si>
    <t xml:space="preserve">Starlink-3668 </t>
  </si>
  <si>
    <t xml:space="preserve">Wideband Global Satcom 1 (WGS-1, USA 195)</t>
  </si>
  <si>
    <t xml:space="preserve">Starlink-5691                </t>
  </si>
  <si>
    <t xml:space="preserve">SB-WASS 3-8 (Space Based Wide Area Surveillance System) NOSS 3-8, USA 274, NRO L79, Intruder)</t>
  </si>
  <si>
    <t xml:space="preserve">Starlink-5166 </t>
  </si>
  <si>
    <t xml:space="preserve">Dataset: reused from Activity 1 &amp; 2 (allowed per assignment instructions, condition (i) OR clause). Source: UCS Satellite Database — https://www.ucs.org/resources/satellite-database (1000-row random sample, "Raw Data" tab). All statistics below are live formulas computed directly from that range.</t>
  </si>
  <si>
    <t xml:space="preserve">Country (unique)</t>
  </si>
  <si>
    <t xml:space="preserve">Count</t>
  </si>
  <si>
    <t xml:space="preserve">Rank (tie-broken)</t>
  </si>
  <si>
    <t xml:space="preserve">Users (unique)</t>
  </si>
  <si>
    <t xml:space="preserve">Purpose (unique)</t>
  </si>
  <si>
    <t xml:space="preserve">IQR Outlier Fences (used to build the histogram bins in each "Plot of Variable" tab). Lower Limit = Q1 - 1.5xIQR, Upper Limit = Q3 + 1.5xIQR. Any value outside these limits is a statistical outlier and is shown as its own bin at each end of the histogram, instead of being silently absorbed into the middle bins.</t>
  </si>
  <si>
    <t xml:space="preserve">Variable</t>
  </si>
  <si>
    <t xml:space="preserve">Type</t>
  </si>
  <si>
    <t xml:space="preserve">Mean</t>
  </si>
  <si>
    <t xml:space="preserve">Median</t>
  </si>
  <si>
    <t xml:space="preserve">Mode</t>
  </si>
  <si>
    <t xml:space="preserve">Reason (Central Tendency)</t>
  </si>
  <si>
    <t xml:space="preserve">Range</t>
  </si>
  <si>
    <t xml:space="preserve">Variance</t>
  </si>
  <si>
    <t xml:space="preserve">Std Dev</t>
  </si>
  <si>
    <t xml:space="preserve">IQR / IQV</t>
  </si>
  <si>
    <t xml:space="preserve">Reason (Dispersion)</t>
  </si>
  <si>
    <t xml:space="preserve">Chart</t>
  </si>
  <si>
    <t xml:space="preserve">Q1</t>
  </si>
  <si>
    <t xml:space="preserve">Q3</t>
  </si>
  <si>
    <t xml:space="preserve">IQR</t>
  </si>
  <si>
    <t xml:space="preserve">Lower Limit (Q1 - 1.5xIQR)</t>
  </si>
  <si>
    <t xml:space="preserve">Upper Limit (Q3 + 1.5xIQR)</t>
  </si>
  <si>
    <t xml:space="preserve">Count Below Lower</t>
  </si>
  <si>
    <t xml:space="preserve">Count Above Upper</t>
  </si>
  <si>
    <t xml:space="preserve">% Flagged as Outliers</t>
  </si>
  <si>
    <t xml:space="preserve">Perigee (km)</t>
  </si>
  <si>
    <t xml:space="preserve">Numerical</t>
  </si>
  <si>
    <t xml:space="preserve">Mean is the arithmetic average of Perigee (km). Where the mean and median (columns C/D) differ noticeably, it signals skew from outliers, in which case median is the more representative typical value.</t>
  </si>
  <si>
    <t xml:space="preserve">Range and standard deviation are shown, but since this variable is right-skewed with outliers, IQR (spread of the middle 50%, columns G-J) is the most reliable dispersion measure — it is not dragged around by extreme values the way range and standard deviation are. The exact Lower/Upper Limit and outlier counts are in the "IQR Outlier Fences" table (columns X-AF) on this sheet, and are used directly to build the bins in the matching "Plot of Variable" tab.</t>
  </si>
  <si>
    <t xml:space="preserve">See 'Plot of Variable_1' tab for visualization</t>
  </si>
  <si>
    <t xml:space="preserve">Apogee (km)</t>
  </si>
  <si>
    <t xml:space="preserve">Mean is the arithmetic average of Apogee (km). Where the mean and median (columns C/D) differ noticeably, it signals skew from outliers, in which case median is the more representative typical value.</t>
  </si>
  <si>
    <t xml:space="preserve">See 'Plot of Variable_2' tab for visualization</t>
  </si>
  <si>
    <t xml:space="preserve">Inclination (deg)</t>
  </si>
  <si>
    <t xml:space="preserve">Mean is the arithmetic average of Inclination (deg). Where the mean and median (columns C/D) differ noticeably, it signals skew from outliers, in which case median is the more representative typical value.</t>
  </si>
  <si>
    <t xml:space="preserve">See 'Plot of Variable_3' tab for visualization</t>
  </si>
  <si>
    <t xml:space="preserve">Period (min)</t>
  </si>
  <si>
    <t xml:space="preserve">Mean is the arithmetic average of Period (min). Where the mean and median (columns C/D) differ noticeably, it signals skew from outliers, in which case median is the more representative typical value.</t>
  </si>
  <si>
    <t xml:space="preserve">See 'Plot of Variable_4' tab for visualization</t>
  </si>
  <si>
    <t xml:space="preserve">Launch Mass (kg)</t>
  </si>
  <si>
    <t xml:space="preserve">Mean is the arithmetic average of Launch Mass (kg). Where the mean and median (columns C/D) differ noticeably, it signals skew from outliers, in which case median is the more representative typical value.</t>
  </si>
  <si>
    <t xml:space="preserve">See 'Plot of Variable_5' tab for visualization</t>
  </si>
  <si>
    <t xml:space="preserve">Categorical</t>
  </si>
  <si>
    <t xml:space="preserve">N/A</t>
  </si>
  <si>
    <t xml:space="preserve">Mean and median are undefined for a categorical variable since its values are labels, not numbers. Mode (column E) is the only valid central tendency measure — it is calculated by finding the category with the highest COUNTIF count among all unique values (see helper table, columns further right).</t>
  </si>
  <si>
    <t xml:space="preserve">Range/variance/std don't apply to categories. Instead, the Index of Qualitative Variation (IQV, column J) measures how evenly the categories are spread — near 1 means evenly represented, near 0 means one category dominates. IQV here is computed live from the COUNTIF-based helper table using k (number of categories), n (total count), and the sum of squared counts.</t>
  </si>
  <si>
    <t xml:space="preserve">See 'Plot of Variable_6' tab for visualization</t>
  </si>
  <si>
    <t xml:space="preserve">See 'Plot of Variable_7' tab for visualization</t>
  </si>
  <si>
    <t xml:space="preserve">See 'Plot of Variable_8' tab for visualization</t>
  </si>
  <si>
    <t xml:space="preserve">Perigee (km) — bin range</t>
  </si>
  <si>
    <t xml:space="preserve">Count of Satellites</t>
  </si>
  <si>
    <t xml:space="preserve">Bin lower (&gt;=)</t>
  </si>
  <si>
    <t xml:space="preserve">Bin upper</t>
  </si>
  <si>
    <t xml:space="preserve">Lower Limit:</t>
  </si>
  <si>
    <t xml:space="preserve">Upper Limit:</t>
  </si>
  <si>
    <t xml:space="preserve">Eff. Lower:</t>
  </si>
  <si>
    <t xml:space="preserve">Eff. Upper:</t>
  </si>
  <si>
    <t xml:space="preserve">IQR Outlier Fence Summary</t>
  </si>
  <si>
    <t xml:space="preserve">Lower Limit (Q1 − 1.5×IQR)</t>
  </si>
  <si>
    <t xml:space="preserve">Upper Limit (Q3 + 1.5×IQR)</t>
  </si>
  <si>
    <t xml:space="preserve">Count below lower limit</t>
  </si>
  <si>
    <t xml:space="preserve">Count above upper limit</t>
  </si>
  <si>
    <t xml:space="preserve">% flagged as outliers</t>
  </si>
  <si>
    <t xml:space="preserve">Apogee (km) — bin range</t>
  </si>
  <si>
    <t xml:space="preserve">Inclination (deg) — bin range</t>
  </si>
  <si>
    <t xml:space="preserve">Period (min) — bin range</t>
  </si>
  <si>
    <t xml:space="preserve">Launch Mass (kg) — bin range</t>
  </si>
  <si>
    <t xml:space="preserve">Two categorical variables: Users and Purpose. Counts below are live COUNTIFS formulas against Raw Data.</t>
  </si>
  <si>
    <t xml:space="preserve">Purpose \ Users</t>
  </si>
  <si>
    <t xml:space="preserve">Other</t>
  </si>
  <si>
    <t xml:space="preserve">% within Purpose</t>
  </si>
  <si>
    <t xml:space="preserve">The 100% stacked bar chart (see 'Plot of Association' tab) shows Purpose and Users are not independent. Communications satellites are overwhelmingly Commercial — look at row 1's percentage vs the other rows. Navigation satellites lean heavily toward 'Other' users rather than Commercial, while Earth Observation is more evenly mixed across Commercial, Government, and Military. Technology Development satellites are the most evenly spread across all user types. All percentages update live if the underlying Raw Data changes.</t>
  </si>
  <si>
    <t xml:space="preserve">Scatter references 'Raw Data'!E2:E1001 (Perigee, X1) and 'Raw Data'!F2:F1001 (Apogee, X2) directly — no data copied.</t>
  </si>
  <si>
    <t xml:space="preserve">Insight (from the scatter plot itself):</t>
  </si>
  <si>
    <t xml:space="preserve">The scatter plot shows a clear positive relationship: as Perigee increases, Apogee tends to increase too. Most points cluster tightly along a diagonal band close to the line Apogee = Perigee, especially in the lower-left region (under ~1000 km) — this is the dense cloud of near-circular low-Earth-orbit satellites, where perigee and apogee are almost equal by definition. A smaller number of points fan out well above that diagonal, corresponding to satellites in more elliptical orbits where apogee is noticeably larger than perigee. There are no points below the diagonal, which makes physical sense — apogee (farthest point) can never be smaller than perigee (closest point) for a given orbit. Overall the visualization suggests a moderately strong, positive, and roughly linear association for the bulk of the data, with a distinct outlier group of highly elliptical orbits pulling the relationship away from a perfect straight line.</t>
  </si>
  <si>
    <t xml:space="preserve">Selected variables: X1 = Perigee (km), X2 = Apogee (km). Both values below are live formulas referencing Raw Data directly.</t>
  </si>
  <si>
    <t xml:space="preserve">Statistic</t>
  </si>
  <si>
    <t xml:space="preserve">Value</t>
  </si>
  <si>
    <t xml:space="preserve">n (paired observations)</t>
  </si>
  <si>
    <t xml:space="preserve">Covariance (X1, X2)</t>
  </si>
  <si>
    <t xml:space="preserve">Correlation coefficient (r)</t>
  </si>
  <si>
    <t xml:space="preserve">The covariance between Perigee and Apogee is positive (see B5), meaning the two variables tend to move in the same direction — satellites with a higher perigee also tend to have a higher apogee. Because covariance's magnitude depends on the units and scale of the variables (km² here), it's hard to judge strength directly from it alone, which is why correlation is more useful.
The Pearson correlation coefficient (B6) indicates a moderately strong positive linear relationship. This makes physical sense: perigee and apogee together define a satellite's orbit shape, so satellites in near-circular orbits naturally have perigee approximately equal to apogee, pulling the correlation upward. The correlation isn't closer to 1 because a subset of satellites are in highly elliptical orbits, where apogee can be dramatically larger than perigee — these cases add scatter around the otherwise tight near-circular cluster visible in the scatter plot tab.</t>
  </si>
</sst>
</file>

<file path=xl/styles.xml><?xml version="1.0" encoding="utf-8"?>
<styleSheet xmlns="http://schemas.openxmlformats.org/spreadsheetml/2006/main">
  <numFmts count="5">
    <numFmt numFmtId="164" formatCode="General"/>
    <numFmt numFmtId="165" formatCode="#,##0.00"/>
    <numFmt numFmtId="166" formatCode="#,##0"/>
    <numFmt numFmtId="167" formatCode="0.0%"/>
    <numFmt numFmtId="168" formatCode="0.00"/>
  </numFmts>
  <fonts count="20">
    <font>
      <sz val="11"/>
      <color theme="1"/>
      <name val="Calibri"/>
      <family val="0"/>
      <charset val="1"/>
    </font>
    <font>
      <sz val="10"/>
      <name val="Arial"/>
      <family val="0"/>
    </font>
    <font>
      <sz val="10"/>
      <name val="Arial"/>
      <family val="0"/>
    </font>
    <font>
      <sz val="10"/>
      <name val="Arial"/>
      <family val="0"/>
    </font>
    <font>
      <b val="true"/>
      <sz val="10"/>
      <color rgb="FFFFFFFF"/>
      <name val="Arial"/>
      <family val="0"/>
      <charset val="1"/>
    </font>
    <font>
      <b val="true"/>
      <sz val="9"/>
      <color theme="1"/>
      <name val="Calibri"/>
      <family val="0"/>
      <charset val="1"/>
    </font>
    <font>
      <i val="true"/>
      <sz val="9"/>
      <color theme="1"/>
      <name val="Calibri"/>
      <family val="0"/>
      <charset val="1"/>
    </font>
    <font>
      <i val="true"/>
      <sz val="9"/>
      <color rgb="FF555555"/>
      <name val="Calibri"/>
      <family val="0"/>
      <charset val="1"/>
    </font>
    <font>
      <b val="true"/>
      <sz val="10"/>
      <name val="Arial"/>
      <family val="0"/>
      <charset val="1"/>
    </font>
    <font>
      <sz val="10"/>
      <color rgb="FFFFFFFF"/>
      <name val="Arial"/>
      <family val="0"/>
      <charset val="1"/>
    </font>
    <font>
      <sz val="10"/>
      <color theme="1"/>
      <name val="Arial"/>
      <family val="0"/>
      <charset val="1"/>
    </font>
    <font>
      <sz val="10"/>
      <name val="Arial"/>
      <family val="0"/>
      <charset val="1"/>
    </font>
    <font>
      <b val="true"/>
      <sz val="11"/>
      <color rgb="FFFFFFFF"/>
      <name val="Arial"/>
      <family val="0"/>
      <charset val="1"/>
    </font>
    <font>
      <b val="true"/>
      <sz val="18"/>
      <color rgb="FF757575"/>
      <name val="Calibri"/>
      <family val="2"/>
    </font>
    <font>
      <sz val="10"/>
      <color rgb="FF000000"/>
      <name val="Calibri"/>
      <family val="2"/>
    </font>
    <font>
      <b val="true"/>
      <sz val="10"/>
      <color rgb="FF000000"/>
      <name val="Calibri"/>
      <family val="2"/>
    </font>
    <font>
      <sz val="10"/>
      <color rgb="FF1A1A1A"/>
      <name val="Calibri"/>
      <family val="2"/>
    </font>
    <font>
      <b val="true"/>
      <sz val="11"/>
      <color theme="1"/>
      <name val="Arial"/>
      <family val="0"/>
      <charset val="1"/>
    </font>
    <font>
      <b val="true"/>
      <sz val="11"/>
      <color theme="1"/>
      <name val="Calibri"/>
      <family val="0"/>
      <charset val="1"/>
    </font>
    <font>
      <sz val="10"/>
      <color theme="1"/>
      <name val="Calibri"/>
      <family val="0"/>
      <charset val="1"/>
    </font>
  </fonts>
  <fills count="4">
    <fill>
      <patternFill patternType="none"/>
    </fill>
    <fill>
      <patternFill patternType="gray125"/>
    </fill>
    <fill>
      <patternFill patternType="solid">
        <fgColor rgb="FF1B2338"/>
        <bgColor rgb="FF1A1A1A"/>
      </patternFill>
    </fill>
    <fill>
      <patternFill patternType="solid">
        <fgColor rgb="FFFCE8E6"/>
        <bgColor rgb="FFFFFFFF"/>
      </patternFill>
    </fill>
  </fills>
  <borders count="2">
    <border diagonalUp="false" diagonalDown="false">
      <left/>
      <right/>
      <top/>
      <bottom/>
      <diagonal/>
    </border>
    <border diagonalUp="false" diagonalDown="false">
      <left style="thin">
        <color rgb="FFD9D9D9"/>
      </left>
      <right style="thin">
        <color rgb="FFD9D9D9"/>
      </right>
      <top style="thin">
        <color rgb="FFD9D9D9"/>
      </top>
      <bottom style="thin">
        <color rgb="FFD9D9D9"/>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2">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4" fillId="2" borderId="0" xfId="0" applyFont="true" applyBorder="false" applyAlignment="true" applyProtection="true">
      <alignment horizontal="general" vertical="top" textRotation="0" wrapText="true" indent="0" shrinkToFit="false"/>
      <protection locked="true" hidden="false"/>
    </xf>
    <xf numFmtId="164" fontId="5" fillId="0" borderId="0" xfId="0" applyFont="true" applyBorder="false" applyAlignment="true" applyProtection="true">
      <alignment horizontal="general" vertical="bottom" textRotation="0" wrapText="false" indent="0" shrinkToFit="false"/>
      <protection locked="true" hidden="false"/>
    </xf>
    <xf numFmtId="164" fontId="6" fillId="0" borderId="0" xfId="0" applyFont="true" applyBorder="false" applyAlignment="true" applyProtection="true">
      <alignment horizontal="general" vertical="bottom" textRotation="0" wrapText="false" indent="0" shrinkToFit="false"/>
      <protection locked="true" hidden="false"/>
    </xf>
    <xf numFmtId="164" fontId="7" fillId="0" borderId="0" xfId="0" applyFont="true" applyBorder="true" applyAlignment="true" applyProtection="true">
      <alignment horizontal="general" vertical="bottom" textRotation="0" wrapText="false" indent="0" shrinkToFit="false"/>
      <protection locked="true" hidden="false"/>
    </xf>
    <xf numFmtId="164" fontId="8" fillId="0" borderId="0" xfId="0" applyFont="true" applyBorder="false" applyAlignment="true" applyProtection="true">
      <alignment horizontal="general" vertical="bottom" textRotation="0" wrapText="false" indent="0" shrinkToFit="false"/>
      <protection locked="true" hidden="false"/>
    </xf>
    <xf numFmtId="164" fontId="9" fillId="2" borderId="0" xfId="0" applyFont="true" applyBorder="true" applyAlignment="true" applyProtection="true">
      <alignment horizontal="left" vertical="top" textRotation="0" wrapText="true" indent="0" shrinkToFit="false"/>
      <protection locked="true" hidden="false"/>
    </xf>
    <xf numFmtId="164" fontId="0" fillId="0" borderId="0" xfId="0" applyFont="true" applyBorder="false" applyAlignment="true" applyProtection="true">
      <alignment horizontal="general" vertical="center" textRotation="0" wrapText="false" indent="0" shrinkToFit="false"/>
      <protection locked="true" hidden="false"/>
    </xf>
    <xf numFmtId="164" fontId="10" fillId="2" borderId="1" xfId="0" applyFont="true" applyBorder="true" applyAlignment="true" applyProtection="true">
      <alignment horizontal="general" vertical="top" textRotation="0" wrapText="true" indent="0" shrinkToFit="false"/>
      <protection locked="true" hidden="false"/>
    </xf>
    <xf numFmtId="164" fontId="10" fillId="0" borderId="1" xfId="0" applyFont="true" applyBorder="true" applyAlignment="true" applyProtection="true">
      <alignment horizontal="general" vertical="top" textRotation="0" wrapText="true" indent="0" shrinkToFit="false"/>
      <protection locked="true" hidden="false"/>
    </xf>
    <xf numFmtId="164" fontId="10" fillId="0" borderId="1" xfId="0" applyFont="true" applyBorder="true" applyAlignment="true" applyProtection="true">
      <alignment horizontal="general" vertical="center" textRotation="0" wrapText="false" indent="0" shrinkToFit="false"/>
      <protection locked="true" hidden="false"/>
    </xf>
    <xf numFmtId="164" fontId="4" fillId="2" borderId="1" xfId="0" applyFont="true" applyBorder="true" applyAlignment="true" applyProtection="true">
      <alignment horizontal="center" vertical="center" textRotation="0" wrapText="true" indent="0" shrinkToFit="false"/>
      <protection locked="true" hidden="false"/>
    </xf>
    <xf numFmtId="165" fontId="10" fillId="0" borderId="1" xfId="0" applyFont="true" applyBorder="true" applyAlignment="true" applyProtection="true">
      <alignment horizontal="general" vertical="top" textRotation="0" wrapText="true" indent="0" shrinkToFit="false"/>
      <protection locked="true" hidden="false"/>
    </xf>
    <xf numFmtId="164" fontId="11" fillId="0" borderId="1" xfId="0" applyFont="true" applyBorder="true" applyAlignment="true" applyProtection="true">
      <alignment horizontal="left" vertical="center" textRotation="0" wrapText="false" indent="0" shrinkToFit="false"/>
      <protection locked="true" hidden="false"/>
    </xf>
    <xf numFmtId="165" fontId="11" fillId="0" borderId="1" xfId="0" applyFont="true" applyBorder="true" applyAlignment="true" applyProtection="true">
      <alignment horizontal="center" vertical="center" textRotation="0" wrapText="false" indent="0" shrinkToFit="false"/>
      <protection locked="true" hidden="false"/>
    </xf>
    <xf numFmtId="166" fontId="11" fillId="0" borderId="1" xfId="0" applyFont="true" applyBorder="true" applyAlignment="true" applyProtection="true">
      <alignment horizontal="center" vertical="center" textRotation="0" wrapText="false" indent="0" shrinkToFit="false"/>
      <protection locked="true" hidden="false"/>
    </xf>
    <xf numFmtId="167" fontId="11" fillId="0" borderId="1" xfId="0" applyFont="true" applyBorder="true" applyAlignment="true" applyProtection="true">
      <alignment horizontal="center" vertical="center" textRotation="0" wrapText="false" indent="0" shrinkToFit="false"/>
      <protection locked="true" hidden="false"/>
    </xf>
    <xf numFmtId="164" fontId="12" fillId="2" borderId="1" xfId="0" applyFont="true" applyBorder="true" applyAlignment="true" applyProtection="true">
      <alignment horizontal="center" vertical="center" textRotation="0" wrapText="true" indent="0" shrinkToFit="false"/>
      <protection locked="true" hidden="false"/>
    </xf>
    <xf numFmtId="166" fontId="11" fillId="0" borderId="0" xfId="0" applyFont="true" applyBorder="false" applyAlignment="true" applyProtection="true">
      <alignment horizontal="general" vertical="bottom" textRotation="0" wrapText="false" indent="0" shrinkToFit="false"/>
      <protection locked="true" hidden="false"/>
    </xf>
    <xf numFmtId="164" fontId="11" fillId="3" borderId="1" xfId="0" applyFont="true" applyBorder="true" applyAlignment="true" applyProtection="true">
      <alignment horizontal="left" vertical="center" textRotation="0" wrapText="false" indent="0" shrinkToFit="false"/>
      <protection locked="true" hidden="false"/>
    </xf>
    <xf numFmtId="166" fontId="11" fillId="3" borderId="1" xfId="0" applyFont="true" applyBorder="true" applyAlignment="true" applyProtection="true">
      <alignment horizontal="center" vertical="center" textRotation="0" wrapText="false" indent="0" shrinkToFit="false"/>
      <protection locked="true" hidden="false"/>
    </xf>
    <xf numFmtId="164" fontId="11" fillId="0" borderId="0" xfId="0" applyFont="true" applyBorder="false" applyAlignment="true" applyProtection="true">
      <alignment horizontal="general" vertical="bottom" textRotation="0" wrapText="false" indent="0" shrinkToFit="false"/>
      <protection locked="true" hidden="false"/>
    </xf>
    <xf numFmtId="167" fontId="11" fillId="0" borderId="0" xfId="0" applyFont="true" applyBorder="false" applyAlignment="true" applyProtection="true">
      <alignment horizontal="general" vertical="bottom" textRotation="0" wrapText="false" indent="0" shrinkToFit="false"/>
      <protection locked="true" hidden="false"/>
    </xf>
    <xf numFmtId="168" fontId="11" fillId="0" borderId="0" xfId="0" applyFont="true" applyBorder="false" applyAlignment="true" applyProtection="true">
      <alignment horizontal="general" vertical="bottom" textRotation="0" wrapText="false" indent="0" shrinkToFit="false"/>
      <protection locked="true" hidden="false"/>
    </xf>
    <xf numFmtId="168" fontId="11" fillId="0" borderId="1" xfId="0" applyFont="true" applyBorder="true" applyAlignment="true" applyProtection="true">
      <alignment horizontal="center" vertical="center" textRotation="0" wrapText="false" indent="0" shrinkToFit="false"/>
      <protection locked="true" hidden="false"/>
    </xf>
    <xf numFmtId="164" fontId="17" fillId="0" borderId="0" xfId="0" applyFont="true" applyBorder="false" applyAlignment="true" applyProtection="true">
      <alignment horizontal="general" vertical="bottom" textRotation="0" wrapText="false" indent="0" shrinkToFit="false"/>
      <protection locked="true" hidden="false"/>
    </xf>
    <xf numFmtId="164" fontId="4" fillId="2" borderId="0" xfId="0" applyFont="true" applyBorder="false" applyAlignment="true" applyProtection="true">
      <alignment horizontal="general" vertical="bottom" textRotation="0" wrapText="false" indent="0" shrinkToFit="false"/>
      <protection locked="true" hidden="false"/>
    </xf>
    <xf numFmtId="164" fontId="10" fillId="0" borderId="0" xfId="0" applyFont="true" applyBorder="true" applyAlignment="true" applyProtection="true">
      <alignment horizontal="general" vertical="top" textRotation="0" wrapText="true" indent="0" shrinkToFit="false"/>
      <protection locked="true" hidden="false"/>
    </xf>
    <xf numFmtId="164" fontId="7" fillId="0" borderId="0" xfId="0" applyFont="true" applyBorder="false" applyAlignment="true" applyProtection="true">
      <alignment horizontal="general" vertical="bottom" textRotation="0" wrapText="false" indent="0" shrinkToFit="false"/>
      <protection locked="true" hidden="false"/>
    </xf>
    <xf numFmtId="164" fontId="18" fillId="0" borderId="0" xfId="0" applyFont="true" applyBorder="false" applyAlignment="true" applyProtection="true">
      <alignment horizontal="general" vertical="bottom" textRotation="0" wrapText="false" indent="0" shrinkToFit="false"/>
      <protection locked="true" hidden="false"/>
    </xf>
    <xf numFmtId="164" fontId="19" fillId="0" borderId="0" xfId="0" applyFont="true" applyBorder="true" applyAlignment="true" applyProtection="tru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7B7B7"/>
      <rgbColor rgb="FF757575"/>
      <rgbColor rgb="FF9999FF"/>
      <rgbColor rgb="FFC0504D"/>
      <rgbColor rgb="FFFCE8E6"/>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4F81BD"/>
      <rgbColor rgb="FF4BACC6"/>
      <rgbColor rgb="FF9BBB59"/>
      <rgbColor rgb="FFFFCC00"/>
      <rgbColor rgb="FFFF9900"/>
      <rgbColor rgb="FFFF6600"/>
      <rgbColor rgb="FF8064A2"/>
      <rgbColor rgb="FF969696"/>
      <rgbColor rgb="FF003366"/>
      <rgbColor rgb="FF339966"/>
      <rgbColor rgb="FF003300"/>
      <rgbColor rgb="FF1A1A1A"/>
      <rgbColor rgb="FF993300"/>
      <rgbColor rgb="FF993366"/>
      <rgbColor rgb="FF555555"/>
      <rgbColor rgb="FF1B2338"/>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757575"/>
                </a:solidFill>
                <a:latin typeface="Calibri"/>
                <a:ea typeface="Calibri"/>
              </a:defRPr>
            </a:pPr>
            <a:r>
              <a:rPr b="1" sz="1800" spc="-1" strike="noStrike">
                <a:solidFill>
                  <a:srgbClr val="757575"/>
                </a:solidFill>
                <a:latin typeface="Calibri"/>
                <a:ea typeface="Calibri"/>
              </a:rPr>
              <a:t>Perigee (km) — histogram (IQR fence-based bins)</a:t>
            </a:r>
          </a:p>
        </c:rich>
      </c:tx>
      <c:overlay val="0"/>
      <c:spPr>
        <a:noFill/>
        <a:ln w="0">
          <a:noFill/>
        </a:ln>
      </c:spPr>
    </c:title>
    <c:autoTitleDeleted val="0"/>
    <c:plotArea>
      <c:barChart>
        <c:barDir val="col"/>
        <c:grouping val="clustered"/>
        <c:varyColors val="0"/>
        <c:ser>
          <c:idx val="0"/>
          <c:order val="0"/>
          <c:tx>
            <c:strRef>
              <c:f>'Plot of Variable_1'!$B$1</c:f>
              <c:strCache>
                <c:ptCount val="1"/>
                <c:pt idx="0">
                  <c:v>Count of Satellites</c:v>
                </c:pt>
              </c:strCache>
            </c:strRef>
          </c:tx>
          <c:spPr>
            <a:solidFill>
              <a:srgbClr val="4f81bd"/>
            </a:solidFill>
            <a:ln w="0">
              <a:noFill/>
            </a:ln>
          </c:spPr>
          <c:invertIfNegative val="0"/>
          <c:dLbls>
            <c:txPr>
              <a:bodyPr wrap="square"/>
              <a:lstStyle/>
              <a:p>
                <a:pPr>
                  <a:defRPr b="0" sz="1000" spc="-1" strike="noStrike">
                    <a:solidFill>
                      <a:srgbClr val="000000"/>
                    </a:solidFill>
                    <a:latin typeface="Arial"/>
                    <a:ea typeface="Calibri"/>
                  </a:defRPr>
                </a:pPr>
              </a:p>
            </c:txPr>
            <c:dLblPos val="outEnd"/>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'Plot of Variable_1'!$A$2:$A$9</c:f>
              <c:strCache>
                <c:ptCount val="8"/>
                <c:pt idx="0">
                  <c:v>&lt; 395 (below fence)</c:v>
                </c:pt>
                <c:pt idx="1">
                  <c:v>395–451</c:v>
                </c:pt>
                <c:pt idx="2">
                  <c:v>451–507</c:v>
                </c:pt>
                <c:pt idx="3">
                  <c:v>507–563</c:v>
                </c:pt>
                <c:pt idx="4">
                  <c:v>563–619</c:v>
                </c:pt>
                <c:pt idx="5">
                  <c:v>619–675</c:v>
                </c:pt>
                <c:pt idx="6">
                  <c:v>675–731</c:v>
                </c:pt>
                <c:pt idx="7">
                  <c:v>&gt; 731 (above fence)</c:v>
                </c:pt>
              </c:strCache>
            </c:strRef>
          </c:cat>
          <c:val>
            <c:numRef>
              <c:f>'Plot of Variable_1'!$B$2:$B$9</c:f>
              <c:numCache>
                <c:formatCode>#,##0</c:formatCode>
                <c:ptCount val="8"/>
                <c:pt idx="0">
                  <c:v>112</c:v>
                </c:pt>
                <c:pt idx="1">
                  <c:v>13</c:v>
                </c:pt>
                <c:pt idx="2">
                  <c:v>85</c:v>
                </c:pt>
                <c:pt idx="3">
                  <c:v>403</c:v>
                </c:pt>
                <c:pt idx="4">
                  <c:v>152</c:v>
                </c:pt>
                <c:pt idx="5">
                  <c:v>16</c:v>
                </c:pt>
                <c:pt idx="6">
                  <c:v>11</c:v>
                </c:pt>
                <c:pt idx="7">
                  <c:v>207</c:v>
                </c:pt>
              </c:numCache>
            </c:numRef>
          </c:val>
        </c:ser>
        <c:gapWidth val="150"/>
        <c:overlap val="0"/>
        <c:axId val="88687974"/>
        <c:axId val="61054908"/>
      </c:barChart>
      <c:catAx>
        <c:axId val="88687974"/>
        <c:scaling>
          <c:orientation val="minMax"/>
        </c:scaling>
        <c:delete val="0"/>
        <c:axPos val="b"/>
        <c:numFmt formatCode="General" sourceLinked="0"/>
        <c:majorTickMark val="none"/>
        <c:minorTickMark val="none"/>
        <c:tickLblPos val="nextTo"/>
        <c:spPr>
          <a:ln w="6480">
            <a:noFill/>
          </a:ln>
        </c:spPr>
        <c:txPr>
          <a:bodyPr/>
          <a:lstStyle/>
          <a:p>
            <a:pPr>
              <a:defRPr b="0" sz="1000" spc="-1" strike="noStrike">
                <a:solidFill>
                  <a:srgbClr val="000000"/>
                </a:solidFill>
                <a:latin typeface="Calibri"/>
                <a:ea typeface="Calibri"/>
              </a:defRPr>
            </a:pPr>
          </a:p>
        </c:txPr>
        <c:crossAx val="61054908"/>
        <c:crosses val="autoZero"/>
        <c:auto val="1"/>
        <c:lblAlgn val="ctr"/>
        <c:lblOffset val="100"/>
        <c:noMultiLvlLbl val="0"/>
      </c:catAx>
      <c:valAx>
        <c:axId val="61054908"/>
        <c:scaling>
          <c:orientation val="minMax"/>
        </c:scaling>
        <c:delete val="0"/>
        <c:axPos val="l"/>
        <c:majorGridlines>
          <c:spPr>
            <a:ln w="6480">
              <a:solidFill>
                <a:srgbClr val="b7b7b7"/>
              </a:solidFill>
              <a:round/>
            </a:ln>
          </c:spPr>
        </c:majorGridlines>
        <c:title>
          <c:tx>
            <c:rich>
              <a:bodyPr rot="-5400000"/>
              <a:lstStyle/>
              <a:p>
                <a:pPr>
                  <a:defRPr b="1" sz="1000" spc="-1" strike="noStrike">
                    <a:solidFill>
                      <a:srgbClr val="000000"/>
                    </a:solidFill>
                    <a:latin typeface="Calibri"/>
                    <a:ea typeface="Calibri"/>
                  </a:defRPr>
                </a:pPr>
                <a:r>
                  <a:rPr b="1" sz="1000" spc="-1" strike="noStrike">
                    <a:solidFill>
                      <a:srgbClr val="000000"/>
                    </a:solidFill>
                    <a:latin typeface="Calibri"/>
                    <a:ea typeface="Calibri"/>
                  </a:rPr>
                  <a:t>Count of Satellites</a:t>
                </a:r>
              </a:p>
            </c:rich>
          </c:tx>
          <c:overlay val="0"/>
          <c:spPr>
            <a:noFill/>
            <a:ln w="0">
              <a:noFill/>
            </a:ln>
          </c:spPr>
        </c:title>
        <c:numFmt formatCode="General" sourceLinked="0"/>
        <c:majorTickMark val="none"/>
        <c:minorTickMark val="none"/>
        <c:tickLblPos val="nextTo"/>
        <c:spPr>
          <a:ln w="6480">
            <a:noFill/>
          </a:ln>
        </c:spPr>
        <c:txPr>
          <a:bodyPr/>
          <a:lstStyle/>
          <a:p>
            <a:pPr>
              <a:defRPr b="0" sz="1000" spc="-1" strike="noStrike">
                <a:solidFill>
                  <a:srgbClr val="000000"/>
                </a:solidFill>
                <a:latin typeface="Calibri"/>
                <a:ea typeface="Calibri"/>
              </a:defRPr>
            </a:pPr>
          </a:p>
        </c:txPr>
        <c:crossAx val="88687974"/>
        <c:crosses val="autoZero"/>
        <c:crossBetween val="between"/>
      </c:valAx>
      <c:spPr>
        <a:noFill/>
        <a:ln w="0">
          <a:noFill/>
        </a:ln>
      </c:spPr>
    </c:plotArea>
    <c:legend>
      <c:legendPos val="r"/>
      <c:overlay val="0"/>
      <c:spPr>
        <a:noFill/>
        <a:ln w="0">
          <a:noFill/>
        </a:ln>
      </c:spPr>
      <c:txPr>
        <a:bodyPr/>
        <a:lstStyle/>
        <a:p>
          <a:pPr>
            <a:defRPr b="0" sz="1000" spc="-1" strike="noStrike">
              <a:solidFill>
                <a:srgbClr val="1a1a1a"/>
              </a:solidFill>
              <a:latin typeface="Calibri"/>
              <a:ea typeface="Calibri"/>
            </a:defRPr>
          </a:pPr>
        </a:p>
      </c:txPr>
    </c:legend>
    <c:plotVisOnly val="1"/>
    <c:dispBlanksAs val="gap"/>
  </c:chart>
  <c:spPr>
    <a:solidFill>
      <a:srgbClr val="ffffff"/>
    </a:solidFill>
    <a:ln w="9360">
      <a:solidFill>
        <a:srgbClr val="d9d9d9"/>
      </a:solidFill>
      <a:round/>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757575"/>
                </a:solidFill>
                <a:latin typeface="Calibri"/>
                <a:ea typeface="Calibri"/>
              </a:defRPr>
            </a:pPr>
            <a:r>
              <a:rPr b="1" sz="1800" spc="-1" strike="noStrike">
                <a:solidFill>
                  <a:srgbClr val="757575"/>
                </a:solidFill>
                <a:latin typeface="Calibri"/>
                <a:ea typeface="Calibri"/>
              </a:rPr>
              <a:t>Apogee (km) — histogram (IQR fence-based bins)</a:t>
            </a:r>
          </a:p>
        </c:rich>
      </c:tx>
      <c:overlay val="0"/>
      <c:spPr>
        <a:noFill/>
        <a:ln w="0">
          <a:noFill/>
        </a:ln>
      </c:spPr>
    </c:title>
    <c:autoTitleDeleted val="0"/>
    <c:plotArea>
      <c:barChart>
        <c:barDir val="col"/>
        <c:grouping val="clustered"/>
        <c:varyColors val="0"/>
        <c:ser>
          <c:idx val="0"/>
          <c:order val="0"/>
          <c:tx>
            <c:strRef>
              <c:f>'Plot of Variable_2'!$B$1</c:f>
              <c:strCache>
                <c:ptCount val="1"/>
                <c:pt idx="0">
                  <c:v>Count of Satellites</c:v>
                </c:pt>
              </c:strCache>
            </c:strRef>
          </c:tx>
          <c:spPr>
            <a:solidFill>
              <a:srgbClr val="4f81bd"/>
            </a:solidFill>
            <a:ln w="0">
              <a:noFill/>
            </a:ln>
          </c:spPr>
          <c:invertIfNegative val="0"/>
          <c:dLbls>
            <c:txPr>
              <a:bodyPr wrap="square"/>
              <a:lstStyle/>
              <a:p>
                <a:pPr>
                  <a:defRPr b="0" sz="1000" spc="-1" strike="noStrike">
                    <a:solidFill>
                      <a:srgbClr val="000000"/>
                    </a:solidFill>
                    <a:latin typeface="Arial"/>
                    <a:ea typeface="Calibri"/>
                  </a:defRPr>
                </a:pPr>
              </a:p>
            </c:txPr>
            <c:dLblPos val="outEnd"/>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'Plot of Variable_2'!$A$2:$A$9</c:f>
              <c:strCache>
                <c:ptCount val="8"/>
                <c:pt idx="0">
                  <c:v>&lt; 403 (below fence)</c:v>
                </c:pt>
                <c:pt idx="1">
                  <c:v>403–462</c:v>
                </c:pt>
                <c:pt idx="2">
                  <c:v>462–521</c:v>
                </c:pt>
                <c:pt idx="3">
                  <c:v>521–580</c:v>
                </c:pt>
                <c:pt idx="4">
                  <c:v>580–639</c:v>
                </c:pt>
                <c:pt idx="5">
                  <c:v>639–698</c:v>
                </c:pt>
                <c:pt idx="6">
                  <c:v>698–757</c:v>
                </c:pt>
                <c:pt idx="7">
                  <c:v>&gt; 757 (above fence)</c:v>
                </c:pt>
              </c:strCache>
            </c:strRef>
          </c:cat>
          <c:val>
            <c:numRef>
              <c:f>'Plot of Variable_2'!$B$2:$B$9</c:f>
              <c:numCache>
                <c:formatCode>#,##0</c:formatCode>
                <c:ptCount val="8"/>
                <c:pt idx="0">
                  <c:v>106</c:v>
                </c:pt>
                <c:pt idx="1">
                  <c:v>16</c:v>
                </c:pt>
                <c:pt idx="2">
                  <c:v>79</c:v>
                </c:pt>
                <c:pt idx="3">
                  <c:v>463</c:v>
                </c:pt>
                <c:pt idx="4">
                  <c:v>93</c:v>
                </c:pt>
                <c:pt idx="5">
                  <c:v>17</c:v>
                </c:pt>
                <c:pt idx="6">
                  <c:v>16</c:v>
                </c:pt>
                <c:pt idx="7">
                  <c:v>209</c:v>
                </c:pt>
              </c:numCache>
            </c:numRef>
          </c:val>
        </c:ser>
        <c:gapWidth val="150"/>
        <c:overlap val="0"/>
        <c:axId val="4535389"/>
        <c:axId val="99963200"/>
      </c:barChart>
      <c:catAx>
        <c:axId val="4535389"/>
        <c:scaling>
          <c:orientation val="minMax"/>
        </c:scaling>
        <c:delete val="0"/>
        <c:axPos val="b"/>
        <c:numFmt formatCode="General" sourceLinked="0"/>
        <c:majorTickMark val="none"/>
        <c:minorTickMark val="none"/>
        <c:tickLblPos val="nextTo"/>
        <c:spPr>
          <a:ln w="6480">
            <a:noFill/>
          </a:ln>
        </c:spPr>
        <c:txPr>
          <a:bodyPr/>
          <a:lstStyle/>
          <a:p>
            <a:pPr>
              <a:defRPr b="0" sz="1000" spc="-1" strike="noStrike">
                <a:solidFill>
                  <a:srgbClr val="000000"/>
                </a:solidFill>
                <a:latin typeface="Calibri"/>
                <a:ea typeface="Calibri"/>
              </a:defRPr>
            </a:pPr>
          </a:p>
        </c:txPr>
        <c:crossAx val="99963200"/>
        <c:crosses val="autoZero"/>
        <c:auto val="1"/>
        <c:lblAlgn val="ctr"/>
        <c:lblOffset val="100"/>
        <c:noMultiLvlLbl val="0"/>
      </c:catAx>
      <c:valAx>
        <c:axId val="99963200"/>
        <c:scaling>
          <c:orientation val="minMax"/>
        </c:scaling>
        <c:delete val="0"/>
        <c:axPos val="l"/>
        <c:majorGridlines>
          <c:spPr>
            <a:ln w="6480">
              <a:solidFill>
                <a:srgbClr val="b7b7b7"/>
              </a:solidFill>
              <a:round/>
            </a:ln>
          </c:spPr>
        </c:majorGridlines>
        <c:title>
          <c:tx>
            <c:rich>
              <a:bodyPr rot="-5400000"/>
              <a:lstStyle/>
              <a:p>
                <a:pPr>
                  <a:defRPr b="1" sz="1000" spc="-1" strike="noStrike">
                    <a:solidFill>
                      <a:srgbClr val="000000"/>
                    </a:solidFill>
                    <a:latin typeface="Calibri"/>
                    <a:ea typeface="Calibri"/>
                  </a:defRPr>
                </a:pPr>
                <a:r>
                  <a:rPr b="1" sz="1000" spc="-1" strike="noStrike">
                    <a:solidFill>
                      <a:srgbClr val="000000"/>
                    </a:solidFill>
                    <a:latin typeface="Calibri"/>
                    <a:ea typeface="Calibri"/>
                  </a:rPr>
                  <a:t>Count of Satellites</a:t>
                </a:r>
              </a:p>
            </c:rich>
          </c:tx>
          <c:overlay val="0"/>
          <c:spPr>
            <a:noFill/>
            <a:ln w="0">
              <a:noFill/>
            </a:ln>
          </c:spPr>
        </c:title>
        <c:numFmt formatCode="General" sourceLinked="0"/>
        <c:majorTickMark val="none"/>
        <c:minorTickMark val="none"/>
        <c:tickLblPos val="nextTo"/>
        <c:spPr>
          <a:ln w="6480">
            <a:noFill/>
          </a:ln>
        </c:spPr>
        <c:txPr>
          <a:bodyPr/>
          <a:lstStyle/>
          <a:p>
            <a:pPr>
              <a:defRPr b="0" sz="1000" spc="-1" strike="noStrike">
                <a:solidFill>
                  <a:srgbClr val="000000"/>
                </a:solidFill>
                <a:latin typeface="Calibri"/>
                <a:ea typeface="Calibri"/>
              </a:defRPr>
            </a:pPr>
          </a:p>
        </c:txPr>
        <c:crossAx val="4535389"/>
        <c:crosses val="autoZero"/>
        <c:crossBetween val="between"/>
      </c:valAx>
      <c:spPr>
        <a:noFill/>
        <a:ln w="0">
          <a:noFill/>
        </a:ln>
      </c:spPr>
    </c:plotArea>
    <c:legend>
      <c:legendPos val="r"/>
      <c:overlay val="0"/>
      <c:spPr>
        <a:noFill/>
        <a:ln w="0">
          <a:noFill/>
        </a:ln>
      </c:spPr>
      <c:txPr>
        <a:bodyPr/>
        <a:lstStyle/>
        <a:p>
          <a:pPr>
            <a:defRPr b="0" sz="1000" spc="-1" strike="noStrike">
              <a:solidFill>
                <a:srgbClr val="1a1a1a"/>
              </a:solidFill>
              <a:latin typeface="Calibri"/>
              <a:ea typeface="Calibri"/>
            </a:defRPr>
          </a:pPr>
        </a:p>
      </c:txPr>
    </c:legend>
    <c:plotVisOnly val="1"/>
    <c:dispBlanksAs val="gap"/>
  </c:chart>
  <c:spPr>
    <a:solidFill>
      <a:srgbClr val="ffffff"/>
    </a:solidFill>
    <a:ln w="9360">
      <a:solidFill>
        <a:srgbClr val="d9d9d9"/>
      </a:solidFill>
      <a:round/>
    </a:ln>
  </c:spPr>
</c:chartSpace>
</file>

<file path=xl/charts/chart3.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757575"/>
                </a:solidFill>
                <a:latin typeface="Calibri"/>
                <a:ea typeface="Calibri"/>
              </a:defRPr>
            </a:pPr>
            <a:r>
              <a:rPr b="1" sz="1800" spc="-1" strike="noStrike">
                <a:solidFill>
                  <a:srgbClr val="757575"/>
                </a:solidFill>
                <a:latin typeface="Calibri"/>
                <a:ea typeface="Calibri"/>
              </a:rPr>
              <a:t>Inclination (deg) — histogram (IQR fence-based bins)</a:t>
            </a:r>
          </a:p>
        </c:rich>
      </c:tx>
      <c:overlay val="0"/>
      <c:spPr>
        <a:noFill/>
        <a:ln w="0">
          <a:noFill/>
        </a:ln>
      </c:spPr>
    </c:title>
    <c:autoTitleDeleted val="0"/>
    <c:plotArea>
      <c:barChart>
        <c:barDir val="col"/>
        <c:grouping val="clustered"/>
        <c:varyColors val="0"/>
        <c:ser>
          <c:idx val="0"/>
          <c:order val="0"/>
          <c:tx>
            <c:strRef>
              <c:f>'Plot of Variable_3'!$B$1</c:f>
              <c:strCache>
                <c:ptCount val="1"/>
                <c:pt idx="0">
                  <c:v>Count of Satellites</c:v>
                </c:pt>
              </c:strCache>
            </c:strRef>
          </c:tx>
          <c:spPr>
            <a:solidFill>
              <a:srgbClr val="4f81bd"/>
            </a:solidFill>
            <a:ln w="0">
              <a:noFill/>
            </a:ln>
          </c:spPr>
          <c:invertIfNegative val="0"/>
          <c:dLbls>
            <c:txPr>
              <a:bodyPr wrap="square"/>
              <a:lstStyle/>
              <a:p>
                <a:pPr>
                  <a:defRPr b="0" sz="1000" spc="-1" strike="noStrike">
                    <a:solidFill>
                      <a:srgbClr val="000000"/>
                    </a:solidFill>
                    <a:latin typeface="Arial"/>
                    <a:ea typeface="Calibri"/>
                  </a:defRPr>
                </a:pPr>
              </a:p>
            </c:txPr>
            <c:dLblPos val="outEnd"/>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'Plot of Variable_3'!$A$2:$A$9</c:f>
              <c:strCache>
                <c:ptCount val="8"/>
                <c:pt idx="0">
                  <c:v>&lt; 0.65 (below fence)</c:v>
                </c:pt>
                <c:pt idx="1">
                  <c:v>0.65–23.92</c:v>
                </c:pt>
                <c:pt idx="2">
                  <c:v>23.92–47.18</c:v>
                </c:pt>
                <c:pt idx="3">
                  <c:v>47.18–70.45</c:v>
                </c:pt>
                <c:pt idx="4">
                  <c:v>70.45–93.72</c:v>
                </c:pt>
                <c:pt idx="5">
                  <c:v>93.72–116.98</c:v>
                </c:pt>
                <c:pt idx="6">
                  <c:v>116.98–140.25</c:v>
                </c:pt>
                <c:pt idx="7">
                  <c:v>&gt; 140.25 (above fence)</c:v>
                </c:pt>
              </c:strCache>
            </c:strRef>
          </c:cat>
          <c:val>
            <c:numRef>
              <c:f>'Plot of Variable_3'!$B$2:$B$9</c:f>
              <c:numCache>
                <c:formatCode>#,##0</c:formatCode>
                <c:ptCount val="8"/>
                <c:pt idx="0">
                  <c:v>86</c:v>
                </c:pt>
                <c:pt idx="1">
                  <c:v>19</c:v>
                </c:pt>
                <c:pt idx="2">
                  <c:v>83</c:v>
                </c:pt>
                <c:pt idx="3">
                  <c:v>478</c:v>
                </c:pt>
                <c:pt idx="4">
                  <c:v>93</c:v>
                </c:pt>
                <c:pt idx="5">
                  <c:v>239</c:v>
                </c:pt>
                <c:pt idx="6">
                  <c:v>1</c:v>
                </c:pt>
                <c:pt idx="7">
                  <c:v>1</c:v>
                </c:pt>
              </c:numCache>
            </c:numRef>
          </c:val>
        </c:ser>
        <c:gapWidth val="150"/>
        <c:overlap val="0"/>
        <c:axId val="8696945"/>
        <c:axId val="30299597"/>
      </c:barChart>
      <c:catAx>
        <c:axId val="8696945"/>
        <c:scaling>
          <c:orientation val="minMax"/>
        </c:scaling>
        <c:delete val="0"/>
        <c:axPos val="b"/>
        <c:numFmt formatCode="General" sourceLinked="0"/>
        <c:majorTickMark val="none"/>
        <c:minorTickMark val="none"/>
        <c:tickLblPos val="nextTo"/>
        <c:spPr>
          <a:ln w="6480">
            <a:noFill/>
          </a:ln>
        </c:spPr>
        <c:txPr>
          <a:bodyPr/>
          <a:lstStyle/>
          <a:p>
            <a:pPr>
              <a:defRPr b="0" sz="1000" spc="-1" strike="noStrike">
                <a:solidFill>
                  <a:srgbClr val="000000"/>
                </a:solidFill>
                <a:latin typeface="Calibri"/>
                <a:ea typeface="Calibri"/>
              </a:defRPr>
            </a:pPr>
          </a:p>
        </c:txPr>
        <c:crossAx val="30299597"/>
        <c:crosses val="autoZero"/>
        <c:auto val="1"/>
        <c:lblAlgn val="ctr"/>
        <c:lblOffset val="100"/>
        <c:noMultiLvlLbl val="0"/>
      </c:catAx>
      <c:valAx>
        <c:axId val="30299597"/>
        <c:scaling>
          <c:orientation val="minMax"/>
        </c:scaling>
        <c:delete val="0"/>
        <c:axPos val="l"/>
        <c:majorGridlines>
          <c:spPr>
            <a:ln w="6480">
              <a:solidFill>
                <a:srgbClr val="b7b7b7"/>
              </a:solidFill>
              <a:round/>
            </a:ln>
          </c:spPr>
        </c:majorGridlines>
        <c:title>
          <c:tx>
            <c:rich>
              <a:bodyPr rot="-5400000"/>
              <a:lstStyle/>
              <a:p>
                <a:pPr>
                  <a:defRPr b="1" sz="1000" spc="-1" strike="noStrike">
                    <a:solidFill>
                      <a:srgbClr val="000000"/>
                    </a:solidFill>
                    <a:latin typeface="Calibri"/>
                    <a:ea typeface="Calibri"/>
                  </a:defRPr>
                </a:pPr>
                <a:r>
                  <a:rPr b="1" sz="1000" spc="-1" strike="noStrike">
                    <a:solidFill>
                      <a:srgbClr val="000000"/>
                    </a:solidFill>
                    <a:latin typeface="Calibri"/>
                    <a:ea typeface="Calibri"/>
                  </a:rPr>
                  <a:t>Count of Satellites</a:t>
                </a:r>
              </a:p>
            </c:rich>
          </c:tx>
          <c:overlay val="0"/>
          <c:spPr>
            <a:noFill/>
            <a:ln w="0">
              <a:noFill/>
            </a:ln>
          </c:spPr>
        </c:title>
        <c:numFmt formatCode="General" sourceLinked="0"/>
        <c:majorTickMark val="none"/>
        <c:minorTickMark val="none"/>
        <c:tickLblPos val="nextTo"/>
        <c:spPr>
          <a:ln w="6480">
            <a:noFill/>
          </a:ln>
        </c:spPr>
        <c:txPr>
          <a:bodyPr/>
          <a:lstStyle/>
          <a:p>
            <a:pPr>
              <a:defRPr b="0" sz="1000" spc="-1" strike="noStrike">
                <a:solidFill>
                  <a:srgbClr val="000000"/>
                </a:solidFill>
                <a:latin typeface="Calibri"/>
                <a:ea typeface="Calibri"/>
              </a:defRPr>
            </a:pPr>
          </a:p>
        </c:txPr>
        <c:crossAx val="8696945"/>
        <c:crosses val="autoZero"/>
        <c:crossBetween val="between"/>
      </c:valAx>
      <c:spPr>
        <a:noFill/>
        <a:ln w="0">
          <a:noFill/>
        </a:ln>
      </c:spPr>
    </c:plotArea>
    <c:legend>
      <c:legendPos val="r"/>
      <c:overlay val="0"/>
      <c:spPr>
        <a:noFill/>
        <a:ln w="0">
          <a:noFill/>
        </a:ln>
      </c:spPr>
      <c:txPr>
        <a:bodyPr/>
        <a:lstStyle/>
        <a:p>
          <a:pPr>
            <a:defRPr b="0" sz="1000" spc="-1" strike="noStrike">
              <a:solidFill>
                <a:srgbClr val="1a1a1a"/>
              </a:solidFill>
              <a:latin typeface="Calibri"/>
              <a:ea typeface="Calibri"/>
            </a:defRPr>
          </a:pPr>
        </a:p>
      </c:txPr>
    </c:legend>
    <c:plotVisOnly val="1"/>
    <c:dispBlanksAs val="gap"/>
  </c:chart>
  <c:spPr>
    <a:solidFill>
      <a:srgbClr val="ffffff"/>
    </a:solidFill>
    <a:ln w="9360">
      <a:solidFill>
        <a:srgbClr val="d9d9d9"/>
      </a:solidFill>
      <a:round/>
    </a:ln>
  </c:spPr>
</c:chartSpace>
</file>

<file path=xl/charts/chart4.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757575"/>
                </a:solidFill>
                <a:latin typeface="Calibri"/>
                <a:ea typeface="Calibri"/>
              </a:defRPr>
            </a:pPr>
            <a:r>
              <a:rPr b="1" sz="1800" spc="-1" strike="noStrike">
                <a:solidFill>
                  <a:srgbClr val="757575"/>
                </a:solidFill>
                <a:latin typeface="Calibri"/>
                <a:ea typeface="Calibri"/>
              </a:rPr>
              <a:t>Period (min) — histogram (IQR fence-based bins)</a:t>
            </a:r>
          </a:p>
        </c:rich>
      </c:tx>
      <c:overlay val="0"/>
      <c:spPr>
        <a:noFill/>
        <a:ln w="0">
          <a:noFill/>
        </a:ln>
      </c:spPr>
    </c:title>
    <c:autoTitleDeleted val="0"/>
    <c:plotArea>
      <c:barChart>
        <c:barDir val="col"/>
        <c:grouping val="clustered"/>
        <c:varyColors val="0"/>
        <c:ser>
          <c:idx val="0"/>
          <c:order val="0"/>
          <c:tx>
            <c:strRef>
              <c:f>'Plot of Variable_4'!$B$1</c:f>
              <c:strCache>
                <c:ptCount val="1"/>
                <c:pt idx="0">
                  <c:v>Count of Satellites</c:v>
                </c:pt>
              </c:strCache>
            </c:strRef>
          </c:tx>
          <c:spPr>
            <a:solidFill>
              <a:srgbClr val="4f81bd"/>
            </a:solidFill>
            <a:ln w="0">
              <a:noFill/>
            </a:ln>
          </c:spPr>
          <c:invertIfNegative val="0"/>
          <c:dLbls>
            <c:txPr>
              <a:bodyPr wrap="square"/>
              <a:lstStyle/>
              <a:p>
                <a:pPr>
                  <a:defRPr b="0" sz="1000" spc="-1" strike="noStrike">
                    <a:solidFill>
                      <a:srgbClr val="000000"/>
                    </a:solidFill>
                    <a:latin typeface="Arial"/>
                    <a:ea typeface="Calibri"/>
                  </a:defRPr>
                </a:pPr>
              </a:p>
            </c:txPr>
            <c:dLblPos val="outEnd"/>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'Plot of Variable_4'!$A$2:$A$9</c:f>
              <c:strCache>
                <c:ptCount val="8"/>
                <c:pt idx="0">
                  <c:v>&lt; 92.38 (below fence)</c:v>
                </c:pt>
                <c:pt idx="1">
                  <c:v>92.38–93.54</c:v>
                </c:pt>
                <c:pt idx="2">
                  <c:v>93.54–94.71</c:v>
                </c:pt>
                <c:pt idx="3">
                  <c:v>94.71–95.88</c:v>
                </c:pt>
                <c:pt idx="4">
                  <c:v>95.88–97.04</c:v>
                </c:pt>
                <c:pt idx="5">
                  <c:v>97.04–98.21</c:v>
                </c:pt>
                <c:pt idx="6">
                  <c:v>98.21–99.38</c:v>
                </c:pt>
                <c:pt idx="7">
                  <c:v>&gt; 99.38 (above fence)</c:v>
                </c:pt>
              </c:strCache>
            </c:strRef>
          </c:cat>
          <c:val>
            <c:numRef>
              <c:f>'Plot of Variable_4'!$B$2:$B$9</c:f>
              <c:numCache>
                <c:formatCode>#,##0</c:formatCode>
                <c:ptCount val="8"/>
                <c:pt idx="0">
                  <c:v>94</c:v>
                </c:pt>
                <c:pt idx="1">
                  <c:v>25</c:v>
                </c:pt>
                <c:pt idx="2">
                  <c:v>108</c:v>
                </c:pt>
                <c:pt idx="3">
                  <c:v>417</c:v>
                </c:pt>
                <c:pt idx="4">
                  <c:v>126</c:v>
                </c:pt>
                <c:pt idx="5">
                  <c:v>19</c:v>
                </c:pt>
                <c:pt idx="6">
                  <c:v>10</c:v>
                </c:pt>
                <c:pt idx="7">
                  <c:v>196</c:v>
                </c:pt>
              </c:numCache>
            </c:numRef>
          </c:val>
        </c:ser>
        <c:gapWidth val="150"/>
        <c:overlap val="0"/>
        <c:axId val="88828141"/>
        <c:axId val="57446429"/>
      </c:barChart>
      <c:catAx>
        <c:axId val="88828141"/>
        <c:scaling>
          <c:orientation val="minMax"/>
        </c:scaling>
        <c:delete val="0"/>
        <c:axPos val="b"/>
        <c:numFmt formatCode="General" sourceLinked="0"/>
        <c:majorTickMark val="none"/>
        <c:minorTickMark val="none"/>
        <c:tickLblPos val="nextTo"/>
        <c:spPr>
          <a:ln w="6480">
            <a:noFill/>
          </a:ln>
        </c:spPr>
        <c:txPr>
          <a:bodyPr/>
          <a:lstStyle/>
          <a:p>
            <a:pPr>
              <a:defRPr b="0" sz="1000" spc="-1" strike="noStrike">
                <a:solidFill>
                  <a:srgbClr val="000000"/>
                </a:solidFill>
                <a:latin typeface="Calibri"/>
                <a:ea typeface="Calibri"/>
              </a:defRPr>
            </a:pPr>
          </a:p>
        </c:txPr>
        <c:crossAx val="57446429"/>
        <c:crosses val="autoZero"/>
        <c:auto val="1"/>
        <c:lblAlgn val="ctr"/>
        <c:lblOffset val="100"/>
        <c:noMultiLvlLbl val="0"/>
      </c:catAx>
      <c:valAx>
        <c:axId val="57446429"/>
        <c:scaling>
          <c:orientation val="minMax"/>
        </c:scaling>
        <c:delete val="0"/>
        <c:axPos val="l"/>
        <c:majorGridlines>
          <c:spPr>
            <a:ln w="6480">
              <a:solidFill>
                <a:srgbClr val="b7b7b7"/>
              </a:solidFill>
              <a:round/>
            </a:ln>
          </c:spPr>
        </c:majorGridlines>
        <c:title>
          <c:tx>
            <c:rich>
              <a:bodyPr rot="-5400000"/>
              <a:lstStyle/>
              <a:p>
                <a:pPr>
                  <a:defRPr b="1" sz="1000" spc="-1" strike="noStrike">
                    <a:solidFill>
                      <a:srgbClr val="000000"/>
                    </a:solidFill>
                    <a:latin typeface="Calibri"/>
                    <a:ea typeface="Calibri"/>
                  </a:defRPr>
                </a:pPr>
                <a:r>
                  <a:rPr b="1" sz="1000" spc="-1" strike="noStrike">
                    <a:solidFill>
                      <a:srgbClr val="000000"/>
                    </a:solidFill>
                    <a:latin typeface="Calibri"/>
                    <a:ea typeface="Calibri"/>
                  </a:rPr>
                  <a:t>Count of Satellites</a:t>
                </a:r>
              </a:p>
            </c:rich>
          </c:tx>
          <c:overlay val="0"/>
          <c:spPr>
            <a:noFill/>
            <a:ln w="0">
              <a:noFill/>
            </a:ln>
          </c:spPr>
        </c:title>
        <c:numFmt formatCode="General" sourceLinked="0"/>
        <c:majorTickMark val="none"/>
        <c:minorTickMark val="none"/>
        <c:tickLblPos val="nextTo"/>
        <c:spPr>
          <a:ln w="6480">
            <a:noFill/>
          </a:ln>
        </c:spPr>
        <c:txPr>
          <a:bodyPr/>
          <a:lstStyle/>
          <a:p>
            <a:pPr>
              <a:defRPr b="0" sz="1000" spc="-1" strike="noStrike">
                <a:solidFill>
                  <a:srgbClr val="000000"/>
                </a:solidFill>
                <a:latin typeface="Calibri"/>
                <a:ea typeface="Calibri"/>
              </a:defRPr>
            </a:pPr>
          </a:p>
        </c:txPr>
        <c:crossAx val="88828141"/>
        <c:crosses val="autoZero"/>
        <c:crossBetween val="between"/>
      </c:valAx>
      <c:spPr>
        <a:noFill/>
        <a:ln w="0">
          <a:noFill/>
        </a:ln>
      </c:spPr>
    </c:plotArea>
    <c:legend>
      <c:legendPos val="r"/>
      <c:overlay val="0"/>
      <c:spPr>
        <a:noFill/>
        <a:ln w="0">
          <a:noFill/>
        </a:ln>
      </c:spPr>
      <c:txPr>
        <a:bodyPr/>
        <a:lstStyle/>
        <a:p>
          <a:pPr>
            <a:defRPr b="0" sz="1000" spc="-1" strike="noStrike">
              <a:solidFill>
                <a:srgbClr val="1a1a1a"/>
              </a:solidFill>
              <a:latin typeface="Calibri"/>
              <a:ea typeface="Calibri"/>
            </a:defRPr>
          </a:pPr>
        </a:p>
      </c:txPr>
    </c:legend>
    <c:plotVisOnly val="1"/>
    <c:dispBlanksAs val="gap"/>
  </c:chart>
  <c:spPr>
    <a:solidFill>
      <a:srgbClr val="ffffff"/>
    </a:solidFill>
    <a:ln w="9360">
      <a:solidFill>
        <a:srgbClr val="d9d9d9"/>
      </a:solidFill>
      <a:round/>
    </a:ln>
  </c:spPr>
</c:chartSpace>
</file>

<file path=xl/charts/chart5.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757575"/>
                </a:solidFill>
                <a:latin typeface="Calibri"/>
                <a:ea typeface="Calibri"/>
              </a:defRPr>
            </a:pPr>
            <a:r>
              <a:rPr b="1" sz="1800" spc="-1" strike="noStrike">
                <a:solidFill>
                  <a:srgbClr val="757575"/>
                </a:solidFill>
                <a:latin typeface="Calibri"/>
                <a:ea typeface="Calibri"/>
              </a:rPr>
              <a:t>Launch Mass (kg) — histogram (IQR fence-based bins)</a:t>
            </a:r>
          </a:p>
        </c:rich>
      </c:tx>
      <c:overlay val="0"/>
      <c:spPr>
        <a:noFill/>
        <a:ln w="0">
          <a:noFill/>
        </a:ln>
      </c:spPr>
    </c:title>
    <c:autoTitleDeleted val="0"/>
    <c:plotArea>
      <c:barChart>
        <c:barDir val="col"/>
        <c:grouping val="clustered"/>
        <c:varyColors val="0"/>
        <c:ser>
          <c:idx val="0"/>
          <c:order val="0"/>
          <c:tx>
            <c:strRef>
              <c:f>'Plot of Variable_5'!$B$1</c:f>
              <c:strCache>
                <c:ptCount val="1"/>
                <c:pt idx="0">
                  <c:v>Count of Satellites</c:v>
                </c:pt>
              </c:strCache>
            </c:strRef>
          </c:tx>
          <c:spPr>
            <a:solidFill>
              <a:srgbClr val="4f81bd"/>
            </a:solidFill>
            <a:ln w="0">
              <a:noFill/>
            </a:ln>
          </c:spPr>
          <c:invertIfNegative val="0"/>
          <c:dLbls>
            <c:txPr>
              <a:bodyPr wrap="square"/>
              <a:lstStyle/>
              <a:p>
                <a:pPr>
                  <a:defRPr b="0" sz="1000" spc="-1" strike="noStrike">
                    <a:solidFill>
                      <a:srgbClr val="000000"/>
                    </a:solidFill>
                    <a:latin typeface="Arial"/>
                    <a:ea typeface="Calibri"/>
                  </a:defRPr>
                </a:pPr>
              </a:p>
            </c:txPr>
            <c:dLblPos val="outEnd"/>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'Plot of Variable_5'!$A$2:$A$9</c:f>
              <c:strCache>
                <c:ptCount val="8"/>
                <c:pt idx="0">
                  <c:v>&lt; 1 (below fence)</c:v>
                </c:pt>
                <c:pt idx="1">
                  <c:v>1–85</c:v>
                </c:pt>
                <c:pt idx="2">
                  <c:v>85–168</c:v>
                </c:pt>
                <c:pt idx="3">
                  <c:v>168–252</c:v>
                </c:pt>
                <c:pt idx="4">
                  <c:v>252–336</c:v>
                </c:pt>
                <c:pt idx="5">
                  <c:v>336–419</c:v>
                </c:pt>
                <c:pt idx="6">
                  <c:v>419–503</c:v>
                </c:pt>
                <c:pt idx="7">
                  <c:v>&gt; 503 (above fence)</c:v>
                </c:pt>
              </c:strCache>
            </c:strRef>
          </c:cat>
          <c:val>
            <c:numRef>
              <c:f>'Plot of Variable_5'!$B$2:$B$9</c:f>
              <c:numCache>
                <c:formatCode>#,##0</c:formatCode>
                <c:ptCount val="8"/>
                <c:pt idx="0">
                  <c:v>0</c:v>
                </c:pt>
                <c:pt idx="1">
                  <c:v>185</c:v>
                </c:pt>
                <c:pt idx="2">
                  <c:v>86</c:v>
                </c:pt>
                <c:pt idx="3">
                  <c:v>68</c:v>
                </c:pt>
                <c:pt idx="4">
                  <c:v>444</c:v>
                </c:pt>
                <c:pt idx="5">
                  <c:v>5</c:v>
                </c:pt>
                <c:pt idx="6">
                  <c:v>4</c:v>
                </c:pt>
                <c:pt idx="7">
                  <c:v>175</c:v>
                </c:pt>
              </c:numCache>
            </c:numRef>
          </c:val>
        </c:ser>
        <c:gapWidth val="150"/>
        <c:overlap val="0"/>
        <c:axId val="32666424"/>
        <c:axId val="51344697"/>
      </c:barChart>
      <c:catAx>
        <c:axId val="32666424"/>
        <c:scaling>
          <c:orientation val="minMax"/>
        </c:scaling>
        <c:delete val="0"/>
        <c:axPos val="b"/>
        <c:numFmt formatCode="General" sourceLinked="0"/>
        <c:majorTickMark val="none"/>
        <c:minorTickMark val="none"/>
        <c:tickLblPos val="nextTo"/>
        <c:spPr>
          <a:ln w="6480">
            <a:noFill/>
          </a:ln>
        </c:spPr>
        <c:txPr>
          <a:bodyPr/>
          <a:lstStyle/>
          <a:p>
            <a:pPr>
              <a:defRPr b="0" sz="1000" spc="-1" strike="noStrike">
                <a:solidFill>
                  <a:srgbClr val="000000"/>
                </a:solidFill>
                <a:latin typeface="Calibri"/>
                <a:ea typeface="Calibri"/>
              </a:defRPr>
            </a:pPr>
          </a:p>
        </c:txPr>
        <c:crossAx val="51344697"/>
        <c:crosses val="autoZero"/>
        <c:auto val="1"/>
        <c:lblAlgn val="ctr"/>
        <c:lblOffset val="100"/>
        <c:noMultiLvlLbl val="0"/>
      </c:catAx>
      <c:valAx>
        <c:axId val="51344697"/>
        <c:scaling>
          <c:orientation val="minMax"/>
        </c:scaling>
        <c:delete val="0"/>
        <c:axPos val="l"/>
        <c:majorGridlines>
          <c:spPr>
            <a:ln w="6480">
              <a:solidFill>
                <a:srgbClr val="b7b7b7"/>
              </a:solidFill>
              <a:round/>
            </a:ln>
          </c:spPr>
        </c:majorGridlines>
        <c:title>
          <c:tx>
            <c:rich>
              <a:bodyPr rot="-5400000"/>
              <a:lstStyle/>
              <a:p>
                <a:pPr>
                  <a:defRPr b="1" sz="1000" spc="-1" strike="noStrike">
                    <a:solidFill>
                      <a:srgbClr val="000000"/>
                    </a:solidFill>
                    <a:latin typeface="Calibri"/>
                    <a:ea typeface="Calibri"/>
                  </a:defRPr>
                </a:pPr>
                <a:r>
                  <a:rPr b="1" sz="1000" spc="-1" strike="noStrike">
                    <a:solidFill>
                      <a:srgbClr val="000000"/>
                    </a:solidFill>
                    <a:latin typeface="Calibri"/>
                    <a:ea typeface="Calibri"/>
                  </a:rPr>
                  <a:t>Count of Satellites</a:t>
                </a:r>
              </a:p>
            </c:rich>
          </c:tx>
          <c:overlay val="0"/>
          <c:spPr>
            <a:noFill/>
            <a:ln w="0">
              <a:noFill/>
            </a:ln>
          </c:spPr>
        </c:title>
        <c:numFmt formatCode="General" sourceLinked="0"/>
        <c:majorTickMark val="none"/>
        <c:minorTickMark val="none"/>
        <c:tickLblPos val="nextTo"/>
        <c:spPr>
          <a:ln w="6480">
            <a:noFill/>
          </a:ln>
        </c:spPr>
        <c:txPr>
          <a:bodyPr/>
          <a:lstStyle/>
          <a:p>
            <a:pPr>
              <a:defRPr b="0" sz="1000" spc="-1" strike="noStrike">
                <a:solidFill>
                  <a:srgbClr val="000000"/>
                </a:solidFill>
                <a:latin typeface="Calibri"/>
                <a:ea typeface="Calibri"/>
              </a:defRPr>
            </a:pPr>
          </a:p>
        </c:txPr>
        <c:crossAx val="32666424"/>
        <c:crosses val="autoZero"/>
        <c:crossBetween val="between"/>
      </c:valAx>
      <c:spPr>
        <a:noFill/>
        <a:ln w="0">
          <a:noFill/>
        </a:ln>
      </c:spPr>
    </c:plotArea>
    <c:legend>
      <c:legendPos val="r"/>
      <c:overlay val="0"/>
      <c:spPr>
        <a:noFill/>
        <a:ln w="0">
          <a:noFill/>
        </a:ln>
      </c:spPr>
      <c:txPr>
        <a:bodyPr/>
        <a:lstStyle/>
        <a:p>
          <a:pPr>
            <a:defRPr b="0" sz="1000" spc="-1" strike="noStrike">
              <a:solidFill>
                <a:srgbClr val="1a1a1a"/>
              </a:solidFill>
              <a:latin typeface="Calibri"/>
              <a:ea typeface="Calibri"/>
            </a:defRPr>
          </a:pPr>
        </a:p>
      </c:txPr>
    </c:legend>
    <c:plotVisOnly val="1"/>
    <c:dispBlanksAs val="gap"/>
  </c:chart>
  <c:spPr>
    <a:solidFill>
      <a:srgbClr val="ffffff"/>
    </a:solidFill>
    <a:ln w="9360">
      <a:solidFill>
        <a:srgbClr val="d9d9d9"/>
      </a:solidFill>
      <a:round/>
    </a:ln>
  </c:spPr>
</c:chartSpace>
</file>

<file path=xl/charts/chart6.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757575"/>
                </a:solidFill>
                <a:latin typeface="Calibri"/>
                <a:ea typeface="Calibri"/>
              </a:defRPr>
            </a:pPr>
            <a:r>
              <a:rPr b="1" sz="1800" spc="-1" strike="noStrike">
                <a:solidFill>
                  <a:srgbClr val="757575"/>
                </a:solidFill>
                <a:latin typeface="Calibri"/>
                <a:ea typeface="Calibri"/>
              </a:rPr>
              <a:t>Country — top 15 by frequency, plus Other</a:t>
            </a:r>
          </a:p>
        </c:rich>
      </c:tx>
      <c:overlay val="0"/>
      <c:spPr>
        <a:noFill/>
        <a:ln w="0">
          <a:noFill/>
        </a:ln>
      </c:spPr>
    </c:title>
    <c:autoTitleDeleted val="0"/>
    <c:plotArea>
      <c:barChart>
        <c:barDir val="col"/>
        <c:grouping val="clustered"/>
        <c:varyColors val="0"/>
        <c:ser>
          <c:idx val="0"/>
          <c:order val="0"/>
          <c:tx>
            <c:strRef>
              <c:f>'Plot of Variable_6'!$B$1</c:f>
              <c:strCache>
                <c:ptCount val="1"/>
                <c:pt idx="0">
                  <c:v>Count</c:v>
                </c:pt>
              </c:strCache>
            </c:strRef>
          </c:tx>
          <c:spPr>
            <a:solidFill>
              <a:srgbClr val="4f81bd"/>
            </a:solidFill>
            <a:ln w="0">
              <a:noFill/>
            </a:ln>
          </c:spPr>
          <c:invertIfNegative val="0"/>
          <c:dLbls>
            <c:txPr>
              <a:bodyPr wrap="square"/>
              <a:lstStyle/>
              <a:p>
                <a:pPr>
                  <a:defRPr b="0" sz="1000" spc="-1" strike="noStrike">
                    <a:solidFill>
                      <a:srgbClr val="000000"/>
                    </a:solidFill>
                    <a:latin typeface="Arial"/>
                    <a:ea typeface="Calibri"/>
                  </a:defRPr>
                </a:pPr>
              </a:p>
            </c:txPr>
            <c:dLblPos val="outEnd"/>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'Plot of Variable_6'!$A$2:$A$17</c:f>
              <c:strCache>
                <c:ptCount val="16"/>
                <c:pt idx="0">
                  <c:v>USA</c:v>
                </c:pt>
                <c:pt idx="1">
                  <c:v>United Kingdom</c:v>
                </c:pt>
                <c:pt idx="2">
                  <c:v>China</c:v>
                </c:pt>
                <c:pt idx="3">
                  <c:v>Russia</c:v>
                </c:pt>
                <c:pt idx="4">
                  <c:v>Canada</c:v>
                </c:pt>
                <c:pt idx="5">
                  <c:v>India</c:v>
                </c:pt>
                <c:pt idx="6">
                  <c:v>Japan</c:v>
                </c:pt>
                <c:pt idx="7">
                  <c:v>Multinational</c:v>
                </c:pt>
                <c:pt idx="8">
                  <c:v>Argentina</c:v>
                </c:pt>
                <c:pt idx="9">
                  <c:v>Luxembourg</c:v>
                </c:pt>
                <c:pt idx="10">
                  <c:v>ESA</c:v>
                </c:pt>
                <c:pt idx="11">
                  <c:v>Germany</c:v>
                </c:pt>
                <c:pt idx="12">
                  <c:v>Australia</c:v>
                </c:pt>
                <c:pt idx="13">
                  <c:v>Brazil</c:v>
                </c:pt>
                <c:pt idx="14">
                  <c:v>France</c:v>
                </c:pt>
                <c:pt idx="15">
                  <c:v>Other (38 countries)</c:v>
                </c:pt>
              </c:strCache>
            </c:strRef>
          </c:cat>
          <c:val>
            <c:numRef>
              <c:f>'Plot of Variable_6'!$B$2:$B$17</c:f>
              <c:numCache>
                <c:formatCode>General</c:formatCode>
                <c:ptCount val="16"/>
                <c:pt idx="0">
                  <c:v>669</c:v>
                </c:pt>
                <c:pt idx="1">
                  <c:v>85</c:v>
                </c:pt>
                <c:pt idx="2">
                  <c:v>77</c:v>
                </c:pt>
                <c:pt idx="3">
                  <c:v>30</c:v>
                </c:pt>
                <c:pt idx="4">
                  <c:v>11</c:v>
                </c:pt>
                <c:pt idx="5">
                  <c:v>11</c:v>
                </c:pt>
                <c:pt idx="6">
                  <c:v>11</c:v>
                </c:pt>
                <c:pt idx="7">
                  <c:v>10</c:v>
                </c:pt>
                <c:pt idx="8">
                  <c:v>8</c:v>
                </c:pt>
                <c:pt idx="9">
                  <c:v>8</c:v>
                </c:pt>
                <c:pt idx="10">
                  <c:v>7</c:v>
                </c:pt>
                <c:pt idx="11">
                  <c:v>5</c:v>
                </c:pt>
                <c:pt idx="12">
                  <c:v>4</c:v>
                </c:pt>
                <c:pt idx="13">
                  <c:v>4</c:v>
                </c:pt>
                <c:pt idx="14">
                  <c:v>4</c:v>
                </c:pt>
                <c:pt idx="15">
                  <c:v>56</c:v>
                </c:pt>
              </c:numCache>
            </c:numRef>
          </c:val>
        </c:ser>
        <c:gapWidth val="150"/>
        <c:overlap val="0"/>
        <c:axId val="3745706"/>
        <c:axId val="50396122"/>
      </c:barChart>
      <c:catAx>
        <c:axId val="3745706"/>
        <c:scaling>
          <c:orientation val="minMax"/>
        </c:scaling>
        <c:delete val="0"/>
        <c:axPos val="b"/>
        <c:numFmt formatCode="General" sourceLinked="0"/>
        <c:majorTickMark val="none"/>
        <c:minorTickMark val="none"/>
        <c:tickLblPos val="nextTo"/>
        <c:spPr>
          <a:ln w="6480">
            <a:noFill/>
          </a:ln>
        </c:spPr>
        <c:txPr>
          <a:bodyPr/>
          <a:lstStyle/>
          <a:p>
            <a:pPr>
              <a:defRPr b="0" sz="1000" spc="-1" strike="noStrike">
                <a:solidFill>
                  <a:srgbClr val="000000"/>
                </a:solidFill>
                <a:latin typeface="Calibri"/>
                <a:ea typeface="Calibri"/>
              </a:defRPr>
            </a:pPr>
          </a:p>
        </c:txPr>
        <c:crossAx val="50396122"/>
        <c:crosses val="autoZero"/>
        <c:auto val="1"/>
        <c:lblAlgn val="ctr"/>
        <c:lblOffset val="100"/>
        <c:noMultiLvlLbl val="0"/>
      </c:catAx>
      <c:valAx>
        <c:axId val="50396122"/>
        <c:scaling>
          <c:orientation val="minMax"/>
        </c:scaling>
        <c:delete val="0"/>
        <c:axPos val="l"/>
        <c:majorGridlines>
          <c:spPr>
            <a:ln w="6480">
              <a:solidFill>
                <a:srgbClr val="b7b7b7"/>
              </a:solidFill>
              <a:round/>
            </a:ln>
          </c:spPr>
        </c:majorGridlines>
        <c:title>
          <c:tx>
            <c:rich>
              <a:bodyPr rot="-5400000"/>
              <a:lstStyle/>
              <a:p>
                <a:pPr>
                  <a:defRPr b="1" sz="1000" spc="-1" strike="noStrike">
                    <a:solidFill>
                      <a:srgbClr val="000000"/>
                    </a:solidFill>
                    <a:latin typeface="Calibri"/>
                    <a:ea typeface="Calibri"/>
                  </a:defRPr>
                </a:pPr>
                <a:r>
                  <a:rPr b="1" sz="1000" spc="-1" strike="noStrike">
                    <a:solidFill>
                      <a:srgbClr val="000000"/>
                    </a:solidFill>
                    <a:latin typeface="Calibri"/>
                    <a:ea typeface="Calibri"/>
                  </a:rPr>
                  <a:t>Count of Satellites</a:t>
                </a:r>
              </a:p>
            </c:rich>
          </c:tx>
          <c:overlay val="0"/>
          <c:spPr>
            <a:noFill/>
            <a:ln w="0">
              <a:noFill/>
            </a:ln>
          </c:spPr>
        </c:title>
        <c:numFmt formatCode="General" sourceLinked="0"/>
        <c:majorTickMark val="none"/>
        <c:minorTickMark val="none"/>
        <c:tickLblPos val="nextTo"/>
        <c:spPr>
          <a:ln w="6480">
            <a:noFill/>
          </a:ln>
        </c:spPr>
        <c:txPr>
          <a:bodyPr/>
          <a:lstStyle/>
          <a:p>
            <a:pPr>
              <a:defRPr b="0" sz="1000" spc="-1" strike="noStrike">
                <a:solidFill>
                  <a:srgbClr val="000000"/>
                </a:solidFill>
                <a:latin typeface="Calibri"/>
                <a:ea typeface="Calibri"/>
              </a:defRPr>
            </a:pPr>
          </a:p>
        </c:txPr>
        <c:crossAx val="3745706"/>
        <c:crosses val="autoZero"/>
        <c:crossBetween val="between"/>
      </c:valAx>
      <c:spPr>
        <a:noFill/>
        <a:ln w="0">
          <a:noFill/>
        </a:ln>
      </c:spPr>
    </c:plotArea>
    <c:legend>
      <c:legendPos val="r"/>
      <c:overlay val="0"/>
      <c:spPr>
        <a:noFill/>
        <a:ln w="0">
          <a:noFill/>
        </a:ln>
      </c:spPr>
      <c:txPr>
        <a:bodyPr/>
        <a:lstStyle/>
        <a:p>
          <a:pPr>
            <a:defRPr b="0" sz="1000" spc="-1" strike="noStrike">
              <a:solidFill>
                <a:srgbClr val="1a1a1a"/>
              </a:solidFill>
              <a:latin typeface="Calibri"/>
              <a:ea typeface="Calibri"/>
            </a:defRPr>
          </a:pPr>
        </a:p>
      </c:txPr>
    </c:legend>
    <c:plotVisOnly val="1"/>
    <c:dispBlanksAs val="gap"/>
  </c:chart>
  <c:spPr>
    <a:solidFill>
      <a:srgbClr val="ffffff"/>
    </a:solidFill>
    <a:ln w="9360">
      <a:solidFill>
        <a:srgbClr val="d9d9d9"/>
      </a:solidFill>
      <a:round/>
    </a:ln>
  </c:spPr>
</c:chartSpace>
</file>

<file path=xl/charts/chart7.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757575"/>
                </a:solidFill>
                <a:latin typeface="Calibri"/>
                <a:ea typeface="Calibri"/>
              </a:defRPr>
            </a:pPr>
            <a:r>
              <a:rPr b="1" sz="1800" spc="-1" strike="noStrike">
                <a:solidFill>
                  <a:srgbClr val="757575"/>
                </a:solidFill>
                <a:latin typeface="Calibri"/>
                <a:ea typeface="Calibri"/>
              </a:rPr>
              <a:t>Users — all categories by frequency</a:t>
            </a:r>
          </a:p>
        </c:rich>
      </c:tx>
      <c:overlay val="0"/>
      <c:spPr>
        <a:noFill/>
        <a:ln w="0">
          <a:noFill/>
        </a:ln>
      </c:spPr>
    </c:title>
    <c:autoTitleDeleted val="0"/>
    <c:plotArea>
      <c:barChart>
        <c:barDir val="col"/>
        <c:grouping val="clustered"/>
        <c:varyColors val="0"/>
        <c:ser>
          <c:idx val="0"/>
          <c:order val="0"/>
          <c:tx>
            <c:strRef>
              <c:f>'Plot of Variable_7'!$B$1</c:f>
              <c:strCache>
                <c:ptCount val="1"/>
                <c:pt idx="0">
                  <c:v>Count</c:v>
                </c:pt>
              </c:strCache>
            </c:strRef>
          </c:tx>
          <c:spPr>
            <a:solidFill>
              <a:srgbClr val="4f81bd"/>
            </a:solidFill>
            <a:ln w="0">
              <a:noFill/>
            </a:ln>
          </c:spPr>
          <c:invertIfNegative val="0"/>
          <c:dLbls>
            <c:txPr>
              <a:bodyPr wrap="square"/>
              <a:lstStyle/>
              <a:p>
                <a:pPr>
                  <a:defRPr b="0" sz="1000" spc="-1" strike="noStrike">
                    <a:solidFill>
                      <a:srgbClr val="000000"/>
                    </a:solidFill>
                    <a:latin typeface="Arial"/>
                    <a:ea typeface="Calibri"/>
                  </a:defRPr>
                </a:pPr>
              </a:p>
            </c:txPr>
            <c:dLblPos val="outEnd"/>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'Plot of Variable_7'!$A$2:$A$13</c:f>
              <c:strCache>
                <c:ptCount val="12"/>
                <c:pt idx="0">
                  <c:v>Commercial</c:v>
                </c:pt>
                <c:pt idx="1">
                  <c:v>Government</c:v>
                </c:pt>
                <c:pt idx="2">
                  <c:v>Military</c:v>
                </c:pt>
                <c:pt idx="3">
                  <c:v>Civil</c:v>
                </c:pt>
                <c:pt idx="4">
                  <c:v>Government/Commercial</c:v>
                </c:pt>
                <c:pt idx="5">
                  <c:v>Military/Commercial</c:v>
                </c:pt>
                <c:pt idx="6">
                  <c:v>Government/Civil</c:v>
                </c:pt>
                <c:pt idx="7">
                  <c:v>Military/Government</c:v>
                </c:pt>
                <c:pt idx="8">
                  <c:v>Military/Civil</c:v>
                </c:pt>
                <c:pt idx="9">
                  <c:v>Civil/Government</c:v>
                </c:pt>
                <c:pt idx="10">
                  <c:v>Civil/Military</c:v>
                </c:pt>
                <c:pt idx="11">
                  <c:v>Government/Military</c:v>
                </c:pt>
              </c:strCache>
            </c:strRef>
          </c:cat>
          <c:val>
            <c:numRef>
              <c:f>'Plot of Variable_7'!$B$2:$B$13</c:f>
              <c:numCache>
                <c:formatCode>General</c:formatCode>
                <c:ptCount val="12"/>
                <c:pt idx="0">
                  <c:v>788</c:v>
                </c:pt>
                <c:pt idx="1">
                  <c:v>80</c:v>
                </c:pt>
                <c:pt idx="2">
                  <c:v>58</c:v>
                </c:pt>
                <c:pt idx="3">
                  <c:v>33</c:v>
                </c:pt>
                <c:pt idx="4">
                  <c:v>12</c:v>
                </c:pt>
                <c:pt idx="5">
                  <c:v>12</c:v>
                </c:pt>
                <c:pt idx="6">
                  <c:v>6</c:v>
                </c:pt>
                <c:pt idx="7">
                  <c:v>6</c:v>
                </c:pt>
                <c:pt idx="8">
                  <c:v>2</c:v>
                </c:pt>
                <c:pt idx="9">
                  <c:v>1</c:v>
                </c:pt>
                <c:pt idx="10">
                  <c:v>1</c:v>
                </c:pt>
                <c:pt idx="11">
                  <c:v>1</c:v>
                </c:pt>
              </c:numCache>
            </c:numRef>
          </c:val>
        </c:ser>
        <c:gapWidth val="150"/>
        <c:overlap val="0"/>
        <c:axId val="48671734"/>
        <c:axId val="44866603"/>
      </c:barChart>
      <c:catAx>
        <c:axId val="48671734"/>
        <c:scaling>
          <c:orientation val="minMax"/>
        </c:scaling>
        <c:delete val="0"/>
        <c:axPos val="b"/>
        <c:numFmt formatCode="General" sourceLinked="0"/>
        <c:majorTickMark val="none"/>
        <c:minorTickMark val="none"/>
        <c:tickLblPos val="nextTo"/>
        <c:spPr>
          <a:ln w="6480">
            <a:noFill/>
          </a:ln>
        </c:spPr>
        <c:txPr>
          <a:bodyPr/>
          <a:lstStyle/>
          <a:p>
            <a:pPr>
              <a:defRPr b="0" sz="1000" spc="-1" strike="noStrike">
                <a:solidFill>
                  <a:srgbClr val="000000"/>
                </a:solidFill>
                <a:latin typeface="Calibri"/>
                <a:ea typeface="Calibri"/>
              </a:defRPr>
            </a:pPr>
          </a:p>
        </c:txPr>
        <c:crossAx val="44866603"/>
        <c:crosses val="autoZero"/>
        <c:auto val="1"/>
        <c:lblAlgn val="ctr"/>
        <c:lblOffset val="100"/>
        <c:noMultiLvlLbl val="0"/>
      </c:catAx>
      <c:valAx>
        <c:axId val="44866603"/>
        <c:scaling>
          <c:orientation val="minMax"/>
        </c:scaling>
        <c:delete val="0"/>
        <c:axPos val="l"/>
        <c:majorGridlines>
          <c:spPr>
            <a:ln w="6480">
              <a:solidFill>
                <a:srgbClr val="b7b7b7"/>
              </a:solidFill>
              <a:round/>
            </a:ln>
          </c:spPr>
        </c:majorGridlines>
        <c:title>
          <c:tx>
            <c:rich>
              <a:bodyPr rot="-5400000"/>
              <a:lstStyle/>
              <a:p>
                <a:pPr>
                  <a:defRPr b="1" sz="1000" spc="-1" strike="noStrike">
                    <a:solidFill>
                      <a:srgbClr val="000000"/>
                    </a:solidFill>
                    <a:latin typeface="Calibri"/>
                    <a:ea typeface="Calibri"/>
                  </a:defRPr>
                </a:pPr>
                <a:r>
                  <a:rPr b="1" sz="1000" spc="-1" strike="noStrike">
                    <a:solidFill>
                      <a:srgbClr val="000000"/>
                    </a:solidFill>
                    <a:latin typeface="Calibri"/>
                    <a:ea typeface="Calibri"/>
                  </a:rPr>
                  <a:t>Count of Satellites</a:t>
                </a:r>
              </a:p>
            </c:rich>
          </c:tx>
          <c:overlay val="0"/>
          <c:spPr>
            <a:noFill/>
            <a:ln w="0">
              <a:noFill/>
            </a:ln>
          </c:spPr>
        </c:title>
        <c:numFmt formatCode="General" sourceLinked="0"/>
        <c:majorTickMark val="none"/>
        <c:minorTickMark val="none"/>
        <c:tickLblPos val="nextTo"/>
        <c:spPr>
          <a:ln w="6480">
            <a:noFill/>
          </a:ln>
        </c:spPr>
        <c:txPr>
          <a:bodyPr/>
          <a:lstStyle/>
          <a:p>
            <a:pPr>
              <a:defRPr b="0" sz="1000" spc="-1" strike="noStrike">
                <a:solidFill>
                  <a:srgbClr val="000000"/>
                </a:solidFill>
                <a:latin typeface="Calibri"/>
                <a:ea typeface="Calibri"/>
              </a:defRPr>
            </a:pPr>
          </a:p>
        </c:txPr>
        <c:crossAx val="48671734"/>
        <c:crosses val="autoZero"/>
        <c:crossBetween val="between"/>
      </c:valAx>
      <c:spPr>
        <a:noFill/>
        <a:ln w="0">
          <a:noFill/>
        </a:ln>
      </c:spPr>
    </c:plotArea>
    <c:legend>
      <c:legendPos val="r"/>
      <c:overlay val="0"/>
      <c:spPr>
        <a:noFill/>
        <a:ln w="0">
          <a:noFill/>
        </a:ln>
      </c:spPr>
      <c:txPr>
        <a:bodyPr/>
        <a:lstStyle/>
        <a:p>
          <a:pPr>
            <a:defRPr b="0" sz="1000" spc="-1" strike="noStrike">
              <a:solidFill>
                <a:srgbClr val="1a1a1a"/>
              </a:solidFill>
              <a:latin typeface="Calibri"/>
              <a:ea typeface="Calibri"/>
            </a:defRPr>
          </a:pPr>
        </a:p>
      </c:txPr>
    </c:legend>
    <c:plotVisOnly val="1"/>
    <c:dispBlanksAs val="gap"/>
  </c:chart>
  <c:spPr>
    <a:solidFill>
      <a:srgbClr val="ffffff"/>
    </a:solidFill>
    <a:ln w="9360">
      <a:solidFill>
        <a:srgbClr val="d9d9d9"/>
      </a:solidFill>
      <a:round/>
    </a:ln>
  </c:spPr>
</c:chartSpace>
</file>

<file path=xl/charts/chart8.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757575"/>
                </a:solidFill>
                <a:latin typeface="Calibri"/>
                <a:ea typeface="Calibri"/>
              </a:defRPr>
            </a:pPr>
            <a:r>
              <a:rPr b="1" sz="1800" spc="-1" strike="noStrike">
                <a:solidFill>
                  <a:srgbClr val="757575"/>
                </a:solidFill>
                <a:latin typeface="Calibri"/>
                <a:ea typeface="Calibri"/>
              </a:rPr>
              <a:t>Purpose — all categories by frequency</a:t>
            </a:r>
          </a:p>
        </c:rich>
      </c:tx>
      <c:overlay val="0"/>
      <c:spPr>
        <a:noFill/>
        <a:ln w="0">
          <a:noFill/>
        </a:ln>
      </c:spPr>
    </c:title>
    <c:autoTitleDeleted val="0"/>
    <c:plotArea>
      <c:barChart>
        <c:barDir val="col"/>
        <c:grouping val="clustered"/>
        <c:varyColors val="0"/>
        <c:ser>
          <c:idx val="0"/>
          <c:order val="0"/>
          <c:tx>
            <c:strRef>
              <c:f>'Plot of Variable_8'!$B$1</c:f>
              <c:strCache>
                <c:ptCount val="1"/>
                <c:pt idx="0">
                  <c:v>Count</c:v>
                </c:pt>
              </c:strCache>
            </c:strRef>
          </c:tx>
          <c:spPr>
            <a:solidFill>
              <a:srgbClr val="4f81bd"/>
            </a:solidFill>
            <a:ln w="0">
              <a:noFill/>
            </a:ln>
          </c:spPr>
          <c:invertIfNegative val="0"/>
          <c:dLbls>
            <c:txPr>
              <a:bodyPr wrap="square"/>
              <a:lstStyle/>
              <a:p>
                <a:pPr>
                  <a:defRPr b="0" sz="1000" spc="-1" strike="noStrike">
                    <a:solidFill>
                      <a:srgbClr val="000000"/>
                    </a:solidFill>
                    <a:latin typeface="Arial"/>
                    <a:ea typeface="Calibri"/>
                  </a:defRPr>
                </a:pPr>
              </a:p>
            </c:txPr>
            <c:dLblPos val="outEnd"/>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'Plot of Variable_8'!$A$2:$A$18</c:f>
              <c:strCache>
                <c:ptCount val="17"/>
                <c:pt idx="0">
                  <c:v>Communications</c:v>
                </c:pt>
                <c:pt idx="1">
                  <c:v>Earth Observation</c:v>
                </c:pt>
                <c:pt idx="2">
                  <c:v>Technology Development</c:v>
                </c:pt>
                <c:pt idx="3">
                  <c:v>Navigation/Global Positioning</c:v>
                </c:pt>
                <c:pt idx="4">
                  <c:v>Space Science</c:v>
                </c:pt>
                <c:pt idx="5">
                  <c:v>Technology Demonstration</c:v>
                </c:pt>
                <c:pt idx="6">
                  <c:v>Navigation/Regional Positioning</c:v>
                </c:pt>
                <c:pt idx="7">
                  <c:v>Surveillance</c:v>
                </c:pt>
                <c:pt idx="8">
                  <c:v>Communications/Maritime Tracking</c:v>
                </c:pt>
                <c:pt idx="9">
                  <c:v>Earth Observation/Technology Development</c:v>
                </c:pt>
                <c:pt idx="10">
                  <c:v>Earth Science</c:v>
                </c:pt>
                <c:pt idx="11">
                  <c:v>Meteorological</c:v>
                </c:pt>
                <c:pt idx="12">
                  <c:v>Earth Observation </c:v>
                </c:pt>
                <c:pt idx="13">
                  <c:v>Earth Science/Earth Observation</c:v>
                </c:pt>
                <c:pt idx="14">
                  <c:v>Mission Extension Technology</c:v>
                </c:pt>
                <c:pt idx="15">
                  <c:v>Satellite Positioning</c:v>
                </c:pt>
                <c:pt idx="16">
                  <c:v>Unknown</c:v>
                </c:pt>
              </c:strCache>
            </c:strRef>
          </c:cat>
          <c:val>
            <c:numRef>
              <c:f>'Plot of Variable_8'!$B$2:$B$18</c:f>
              <c:numCache>
                <c:formatCode>General</c:formatCode>
                <c:ptCount val="17"/>
                <c:pt idx="0">
                  <c:v>704</c:v>
                </c:pt>
                <c:pt idx="1">
                  <c:v>174</c:v>
                </c:pt>
                <c:pt idx="2">
                  <c:v>53</c:v>
                </c:pt>
                <c:pt idx="3">
                  <c:v>20</c:v>
                </c:pt>
                <c:pt idx="4">
                  <c:v>18</c:v>
                </c:pt>
                <c:pt idx="5">
                  <c:v>12</c:v>
                </c:pt>
                <c:pt idx="6">
                  <c:v>3</c:v>
                </c:pt>
                <c:pt idx="7">
                  <c:v>3</c:v>
                </c:pt>
                <c:pt idx="8">
                  <c:v>2</c:v>
                </c:pt>
                <c:pt idx="9">
                  <c:v>2</c:v>
                </c:pt>
                <c:pt idx="10">
                  <c:v>2</c:v>
                </c:pt>
                <c:pt idx="11">
                  <c:v>2</c:v>
                </c:pt>
                <c:pt idx="12">
                  <c:v>1</c:v>
                </c:pt>
                <c:pt idx="13">
                  <c:v>1</c:v>
                </c:pt>
                <c:pt idx="14">
                  <c:v>1</c:v>
                </c:pt>
                <c:pt idx="15">
                  <c:v>1</c:v>
                </c:pt>
                <c:pt idx="16">
                  <c:v>1</c:v>
                </c:pt>
              </c:numCache>
            </c:numRef>
          </c:val>
        </c:ser>
        <c:gapWidth val="150"/>
        <c:overlap val="0"/>
        <c:axId val="88973652"/>
        <c:axId val="16014110"/>
      </c:barChart>
      <c:catAx>
        <c:axId val="88973652"/>
        <c:scaling>
          <c:orientation val="minMax"/>
        </c:scaling>
        <c:delete val="0"/>
        <c:axPos val="b"/>
        <c:numFmt formatCode="General" sourceLinked="0"/>
        <c:majorTickMark val="none"/>
        <c:minorTickMark val="none"/>
        <c:tickLblPos val="nextTo"/>
        <c:spPr>
          <a:ln w="6480">
            <a:noFill/>
          </a:ln>
        </c:spPr>
        <c:txPr>
          <a:bodyPr/>
          <a:lstStyle/>
          <a:p>
            <a:pPr>
              <a:defRPr b="0" sz="1000" spc="-1" strike="noStrike">
                <a:solidFill>
                  <a:srgbClr val="000000"/>
                </a:solidFill>
                <a:latin typeface="Calibri"/>
                <a:ea typeface="Calibri"/>
              </a:defRPr>
            </a:pPr>
          </a:p>
        </c:txPr>
        <c:crossAx val="16014110"/>
        <c:crosses val="autoZero"/>
        <c:auto val="1"/>
        <c:lblAlgn val="ctr"/>
        <c:lblOffset val="100"/>
        <c:noMultiLvlLbl val="0"/>
      </c:catAx>
      <c:valAx>
        <c:axId val="16014110"/>
        <c:scaling>
          <c:orientation val="minMax"/>
        </c:scaling>
        <c:delete val="0"/>
        <c:axPos val="l"/>
        <c:majorGridlines>
          <c:spPr>
            <a:ln w="6480">
              <a:solidFill>
                <a:srgbClr val="b7b7b7"/>
              </a:solidFill>
              <a:round/>
            </a:ln>
          </c:spPr>
        </c:majorGridlines>
        <c:title>
          <c:tx>
            <c:rich>
              <a:bodyPr rot="-5400000"/>
              <a:lstStyle/>
              <a:p>
                <a:pPr>
                  <a:defRPr b="1" sz="1000" spc="-1" strike="noStrike">
                    <a:solidFill>
                      <a:srgbClr val="000000"/>
                    </a:solidFill>
                    <a:latin typeface="Calibri"/>
                    <a:ea typeface="Calibri"/>
                  </a:defRPr>
                </a:pPr>
                <a:r>
                  <a:rPr b="1" sz="1000" spc="-1" strike="noStrike">
                    <a:solidFill>
                      <a:srgbClr val="000000"/>
                    </a:solidFill>
                    <a:latin typeface="Calibri"/>
                    <a:ea typeface="Calibri"/>
                  </a:rPr>
                  <a:t>Count of Satellites</a:t>
                </a:r>
              </a:p>
            </c:rich>
          </c:tx>
          <c:overlay val="0"/>
          <c:spPr>
            <a:noFill/>
            <a:ln w="0">
              <a:noFill/>
            </a:ln>
          </c:spPr>
        </c:title>
        <c:numFmt formatCode="General" sourceLinked="0"/>
        <c:majorTickMark val="none"/>
        <c:minorTickMark val="none"/>
        <c:tickLblPos val="nextTo"/>
        <c:spPr>
          <a:ln w="6480">
            <a:noFill/>
          </a:ln>
        </c:spPr>
        <c:txPr>
          <a:bodyPr/>
          <a:lstStyle/>
          <a:p>
            <a:pPr>
              <a:defRPr b="0" sz="1000" spc="-1" strike="noStrike">
                <a:solidFill>
                  <a:srgbClr val="000000"/>
                </a:solidFill>
                <a:latin typeface="Calibri"/>
                <a:ea typeface="Calibri"/>
              </a:defRPr>
            </a:pPr>
          </a:p>
        </c:txPr>
        <c:crossAx val="88973652"/>
        <c:crosses val="autoZero"/>
        <c:crossBetween val="between"/>
      </c:valAx>
      <c:spPr>
        <a:noFill/>
        <a:ln w="0">
          <a:noFill/>
        </a:ln>
      </c:spPr>
    </c:plotArea>
    <c:legend>
      <c:legendPos val="r"/>
      <c:overlay val="0"/>
      <c:spPr>
        <a:noFill/>
        <a:ln w="0">
          <a:noFill/>
        </a:ln>
      </c:spPr>
      <c:txPr>
        <a:bodyPr/>
        <a:lstStyle/>
        <a:p>
          <a:pPr>
            <a:defRPr b="0" sz="1000" spc="-1" strike="noStrike">
              <a:solidFill>
                <a:srgbClr val="1a1a1a"/>
              </a:solidFill>
              <a:latin typeface="Calibri"/>
              <a:ea typeface="Calibri"/>
            </a:defRPr>
          </a:pPr>
        </a:p>
      </c:txPr>
    </c:legend>
    <c:plotVisOnly val="1"/>
    <c:dispBlanksAs val="gap"/>
  </c:chart>
  <c:spPr>
    <a:solidFill>
      <a:srgbClr val="ffffff"/>
    </a:solidFill>
    <a:ln w="9360">
      <a:solidFill>
        <a:srgbClr val="d9d9d9"/>
      </a:solidFill>
      <a:round/>
    </a:ln>
  </c:spPr>
</c:chartSpace>
</file>

<file path=xl/charts/chart9.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757575"/>
                </a:solidFill>
                <a:latin typeface="Calibri"/>
                <a:ea typeface="Calibri"/>
              </a:defRPr>
            </a:pPr>
            <a:r>
              <a:rPr b="1" sz="1800" spc="-1" strike="noStrike">
                <a:solidFill>
                  <a:srgbClr val="757575"/>
                </a:solidFill>
                <a:latin typeface="Calibri"/>
                <a:ea typeface="Calibri"/>
              </a:rPr>
              <a:t>Purpose vs Users — 100% Stacked Bar (live from Categorical Association)</a:t>
            </a:r>
          </a:p>
        </c:rich>
      </c:tx>
      <c:overlay val="0"/>
      <c:spPr>
        <a:noFill/>
        <a:ln w="0">
          <a:noFill/>
        </a:ln>
      </c:spPr>
    </c:title>
    <c:autoTitleDeleted val="0"/>
    <c:plotArea>
      <c:barChart>
        <c:barDir val="col"/>
        <c:grouping val="percentStacked"/>
        <c:varyColors val="0"/>
        <c:ser>
          <c:idx val="0"/>
          <c:order val="0"/>
          <c:tx>
            <c:strRef>
              <c:f>'Plot of Association'!$B$1</c:f>
              <c:strCache>
                <c:ptCount val="1"/>
                <c:pt idx="0">
                  <c:v>Commercial</c:v>
                </c:pt>
              </c:strCache>
            </c:strRef>
          </c:tx>
          <c:spPr>
            <a:solidFill>
              <a:srgbClr val="4f81bd"/>
            </a:solidFill>
            <a:ln w="0">
              <a:noFill/>
            </a:ln>
          </c:spPr>
          <c:invertIfNegative val="0"/>
          <c:dLbls>
            <c:txPr>
              <a:bodyPr wrap="square"/>
              <a:lstStyle/>
              <a:p>
                <a:pPr>
                  <a:defRPr b="0" sz="1000" spc="-1" strike="noStrike">
                    <a:solidFill>
                      <a:srgbClr val="000000"/>
                    </a:solidFill>
                    <a:latin typeface="Arial"/>
                    <a:ea typeface="Calibri"/>
                  </a:defRPr>
                </a:pPr>
              </a:p>
            </c:txPr>
            <c:dLblPos val="ct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'Plot of Association'!$A$2:$A$5</c:f>
              <c:strCache>
                <c:ptCount val="4"/>
                <c:pt idx="0">
                  <c:v>Communications</c:v>
                </c:pt>
                <c:pt idx="1">
                  <c:v>Earth Observation</c:v>
                </c:pt>
                <c:pt idx="2">
                  <c:v>Navigation/Global Positioning</c:v>
                </c:pt>
                <c:pt idx="3">
                  <c:v>Technology Development</c:v>
                </c:pt>
              </c:strCache>
            </c:strRef>
          </c:cat>
          <c:val>
            <c:numRef>
              <c:f>'Plot of Association'!$B$2:$B$5</c:f>
              <c:numCache>
                <c:formatCode>General</c:formatCode>
                <c:ptCount val="4"/>
                <c:pt idx="0">
                  <c:v>93.8920454545455</c:v>
                </c:pt>
                <c:pt idx="1">
                  <c:v>53.448275862069</c:v>
                </c:pt>
                <c:pt idx="2">
                  <c:v>20</c:v>
                </c:pt>
                <c:pt idx="3">
                  <c:v>26.4150943396226</c:v>
                </c:pt>
              </c:numCache>
            </c:numRef>
          </c:val>
        </c:ser>
        <c:ser>
          <c:idx val="1"/>
          <c:order val="1"/>
          <c:tx>
            <c:strRef>
              <c:f>'Plot of Association'!$C$1</c:f>
              <c:strCache>
                <c:ptCount val="1"/>
                <c:pt idx="0">
                  <c:v>Government</c:v>
                </c:pt>
              </c:strCache>
            </c:strRef>
          </c:tx>
          <c:spPr>
            <a:solidFill>
              <a:srgbClr val="c0504d"/>
            </a:solidFill>
            <a:ln w="0">
              <a:noFill/>
            </a:ln>
          </c:spPr>
          <c:invertIfNegative val="0"/>
          <c:dLbls>
            <c:txPr>
              <a:bodyPr wrap="square"/>
              <a:lstStyle/>
              <a:p>
                <a:pPr>
                  <a:defRPr b="0" sz="1000" spc="-1" strike="noStrike">
                    <a:solidFill>
                      <a:srgbClr val="000000"/>
                    </a:solidFill>
                    <a:latin typeface="Arial"/>
                    <a:ea typeface="Calibri"/>
                  </a:defRPr>
                </a:pPr>
              </a:p>
            </c:txPr>
            <c:dLblPos val="ct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'Plot of Association'!$A$2:$A$5</c:f>
              <c:strCache>
                <c:ptCount val="4"/>
                <c:pt idx="0">
                  <c:v>Communications</c:v>
                </c:pt>
                <c:pt idx="1">
                  <c:v>Earth Observation</c:v>
                </c:pt>
                <c:pt idx="2">
                  <c:v>Navigation/Global Positioning</c:v>
                </c:pt>
                <c:pt idx="3">
                  <c:v>Technology Development</c:v>
                </c:pt>
              </c:strCache>
            </c:strRef>
          </c:cat>
          <c:val>
            <c:numRef>
              <c:f>'Plot of Association'!$C$2:$C$5</c:f>
              <c:numCache>
                <c:formatCode>General</c:formatCode>
                <c:ptCount val="4"/>
                <c:pt idx="0">
                  <c:v>1.98863636363636</c:v>
                </c:pt>
                <c:pt idx="1">
                  <c:v>21.8390804597701</c:v>
                </c:pt>
                <c:pt idx="2">
                  <c:v>0</c:v>
                </c:pt>
                <c:pt idx="3">
                  <c:v>16.9811320754717</c:v>
                </c:pt>
              </c:numCache>
            </c:numRef>
          </c:val>
        </c:ser>
        <c:ser>
          <c:idx val="2"/>
          <c:order val="2"/>
          <c:tx>
            <c:strRef>
              <c:f>'Plot of Association'!$D$1</c:f>
              <c:strCache>
                <c:ptCount val="1"/>
                <c:pt idx="0">
                  <c:v>Military</c:v>
                </c:pt>
              </c:strCache>
            </c:strRef>
          </c:tx>
          <c:spPr>
            <a:solidFill>
              <a:srgbClr val="9bbb59"/>
            </a:solidFill>
            <a:ln w="0">
              <a:noFill/>
            </a:ln>
          </c:spPr>
          <c:invertIfNegative val="0"/>
          <c:dLbls>
            <c:txPr>
              <a:bodyPr wrap="square"/>
              <a:lstStyle/>
              <a:p>
                <a:pPr>
                  <a:defRPr b="0" sz="1000" spc="-1" strike="noStrike">
                    <a:solidFill>
                      <a:srgbClr val="000000"/>
                    </a:solidFill>
                    <a:latin typeface="Arial"/>
                    <a:ea typeface="Calibri"/>
                  </a:defRPr>
                </a:pPr>
              </a:p>
            </c:txPr>
            <c:dLblPos val="ct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'Plot of Association'!$A$2:$A$5</c:f>
              <c:strCache>
                <c:ptCount val="4"/>
                <c:pt idx="0">
                  <c:v>Communications</c:v>
                </c:pt>
                <c:pt idx="1">
                  <c:v>Earth Observation</c:v>
                </c:pt>
                <c:pt idx="2">
                  <c:v>Navigation/Global Positioning</c:v>
                </c:pt>
                <c:pt idx="3">
                  <c:v>Technology Development</c:v>
                </c:pt>
              </c:strCache>
            </c:strRef>
          </c:cat>
          <c:val>
            <c:numRef>
              <c:f>'Plot of Association'!$D$2:$D$5</c:f>
              <c:numCache>
                <c:formatCode>General</c:formatCode>
                <c:ptCount val="4"/>
                <c:pt idx="0">
                  <c:v>1.84659090909091</c:v>
                </c:pt>
                <c:pt idx="1">
                  <c:v>18.3908045977012</c:v>
                </c:pt>
                <c:pt idx="2">
                  <c:v>0</c:v>
                </c:pt>
                <c:pt idx="3">
                  <c:v>20.7547169811321</c:v>
                </c:pt>
              </c:numCache>
            </c:numRef>
          </c:val>
        </c:ser>
        <c:ser>
          <c:idx val="3"/>
          <c:order val="3"/>
          <c:tx>
            <c:strRef>
              <c:f>'Plot of Association'!$E$1</c:f>
              <c:strCache>
                <c:ptCount val="1"/>
                <c:pt idx="0">
                  <c:v>Civil</c:v>
                </c:pt>
              </c:strCache>
            </c:strRef>
          </c:tx>
          <c:spPr>
            <a:solidFill>
              <a:srgbClr val="8064a2"/>
            </a:solidFill>
            <a:ln w="0">
              <a:noFill/>
            </a:ln>
          </c:spPr>
          <c:invertIfNegative val="0"/>
          <c:dLbls>
            <c:txPr>
              <a:bodyPr wrap="square"/>
              <a:lstStyle/>
              <a:p>
                <a:pPr>
                  <a:defRPr b="0" sz="1000" spc="-1" strike="noStrike">
                    <a:solidFill>
                      <a:srgbClr val="000000"/>
                    </a:solidFill>
                    <a:latin typeface="Arial"/>
                    <a:ea typeface="Calibri"/>
                  </a:defRPr>
                </a:pPr>
              </a:p>
            </c:txPr>
            <c:dLblPos val="ct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'Plot of Association'!$A$2:$A$5</c:f>
              <c:strCache>
                <c:ptCount val="4"/>
                <c:pt idx="0">
                  <c:v>Communications</c:v>
                </c:pt>
                <c:pt idx="1">
                  <c:v>Earth Observation</c:v>
                </c:pt>
                <c:pt idx="2">
                  <c:v>Navigation/Global Positioning</c:v>
                </c:pt>
                <c:pt idx="3">
                  <c:v>Technology Development</c:v>
                </c:pt>
              </c:strCache>
            </c:strRef>
          </c:cat>
          <c:val>
            <c:numRef>
              <c:f>'Plot of Association'!$E$2:$E$5</c:f>
              <c:numCache>
                <c:formatCode>General</c:formatCode>
                <c:ptCount val="4"/>
                <c:pt idx="0">
                  <c:v>0.568181818181818</c:v>
                </c:pt>
                <c:pt idx="1">
                  <c:v>2.8735632183908</c:v>
                </c:pt>
                <c:pt idx="2">
                  <c:v>0</c:v>
                </c:pt>
                <c:pt idx="3">
                  <c:v>28.3018867924528</c:v>
                </c:pt>
              </c:numCache>
            </c:numRef>
          </c:val>
        </c:ser>
        <c:ser>
          <c:idx val="4"/>
          <c:order val="4"/>
          <c:tx>
            <c:strRef>
              <c:f>'Plot of Association'!$F$1</c:f>
              <c:strCache>
                <c:ptCount val="1"/>
                <c:pt idx="0">
                  <c:v>Other</c:v>
                </c:pt>
              </c:strCache>
            </c:strRef>
          </c:tx>
          <c:spPr>
            <a:solidFill>
              <a:srgbClr val="4bacc6"/>
            </a:solidFill>
            <a:ln w="0">
              <a:noFill/>
            </a:ln>
          </c:spPr>
          <c:invertIfNegative val="0"/>
          <c:dLbls>
            <c:txPr>
              <a:bodyPr wrap="square"/>
              <a:lstStyle/>
              <a:p>
                <a:pPr>
                  <a:defRPr b="0" sz="1000" spc="-1" strike="noStrike">
                    <a:solidFill>
                      <a:srgbClr val="000000"/>
                    </a:solidFill>
                    <a:latin typeface="Arial"/>
                    <a:ea typeface="Calibri"/>
                  </a:defRPr>
                </a:pPr>
              </a:p>
            </c:txPr>
            <c:dLblPos val="ct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'Plot of Association'!$A$2:$A$5</c:f>
              <c:strCache>
                <c:ptCount val="4"/>
                <c:pt idx="0">
                  <c:v>Communications</c:v>
                </c:pt>
                <c:pt idx="1">
                  <c:v>Earth Observation</c:v>
                </c:pt>
                <c:pt idx="2">
                  <c:v>Navigation/Global Positioning</c:v>
                </c:pt>
                <c:pt idx="3">
                  <c:v>Technology Development</c:v>
                </c:pt>
              </c:strCache>
            </c:strRef>
          </c:cat>
          <c:val>
            <c:numRef>
              <c:f>'Plot of Association'!$F$2:$F$5</c:f>
              <c:numCache>
                <c:formatCode>General</c:formatCode>
                <c:ptCount val="4"/>
                <c:pt idx="0">
                  <c:v>1.70454545454545</c:v>
                </c:pt>
                <c:pt idx="1">
                  <c:v>3.44827586206897</c:v>
                </c:pt>
                <c:pt idx="2">
                  <c:v>80</c:v>
                </c:pt>
                <c:pt idx="3">
                  <c:v>7.54716981132076</c:v>
                </c:pt>
              </c:numCache>
            </c:numRef>
          </c:val>
        </c:ser>
        <c:gapWidth val="150"/>
        <c:overlap val="100"/>
        <c:axId val="2346173"/>
        <c:axId val="42111884"/>
      </c:barChart>
      <c:catAx>
        <c:axId val="2346173"/>
        <c:scaling>
          <c:orientation val="minMax"/>
        </c:scaling>
        <c:delete val="0"/>
        <c:axPos val="b"/>
        <c:numFmt formatCode="General" sourceLinked="0"/>
        <c:majorTickMark val="none"/>
        <c:minorTickMark val="none"/>
        <c:tickLblPos val="nextTo"/>
        <c:spPr>
          <a:ln w="6480">
            <a:noFill/>
          </a:ln>
        </c:spPr>
        <c:txPr>
          <a:bodyPr/>
          <a:lstStyle/>
          <a:p>
            <a:pPr>
              <a:defRPr b="0" sz="1000" spc="-1" strike="noStrike">
                <a:solidFill>
                  <a:srgbClr val="000000"/>
                </a:solidFill>
                <a:latin typeface="Calibri"/>
                <a:ea typeface="Calibri"/>
              </a:defRPr>
            </a:pPr>
          </a:p>
        </c:txPr>
        <c:crossAx val="42111884"/>
        <c:crosses val="autoZero"/>
        <c:auto val="1"/>
        <c:lblAlgn val="ctr"/>
        <c:lblOffset val="100"/>
        <c:noMultiLvlLbl val="0"/>
      </c:catAx>
      <c:valAx>
        <c:axId val="42111884"/>
        <c:scaling>
          <c:orientation val="minMax"/>
        </c:scaling>
        <c:delete val="0"/>
        <c:axPos val="l"/>
        <c:majorGridlines>
          <c:spPr>
            <a:ln w="6480">
              <a:solidFill>
                <a:srgbClr val="b7b7b7"/>
              </a:solidFill>
              <a:round/>
            </a:ln>
          </c:spPr>
        </c:majorGridlines>
        <c:title>
          <c:tx>
            <c:rich>
              <a:bodyPr rot="-5400000"/>
              <a:lstStyle/>
              <a:p>
                <a:pPr>
                  <a:defRPr b="1" sz="1000" spc="-1" strike="noStrike">
                    <a:solidFill>
                      <a:srgbClr val="000000"/>
                    </a:solidFill>
                    <a:latin typeface="Calibri"/>
                    <a:ea typeface="Calibri"/>
                  </a:defRPr>
                </a:pPr>
                <a:r>
                  <a:rPr b="1" sz="1000" spc="-1" strike="noStrike">
                    <a:solidFill>
                      <a:srgbClr val="000000"/>
                    </a:solidFill>
                    <a:latin typeface="Calibri"/>
                    <a:ea typeface="Calibri"/>
                  </a:rPr>
                  <a:t>% within Purpose</a:t>
                </a:r>
              </a:p>
            </c:rich>
          </c:tx>
          <c:overlay val="0"/>
          <c:spPr>
            <a:noFill/>
            <a:ln w="0">
              <a:noFill/>
            </a:ln>
          </c:spPr>
        </c:title>
        <c:numFmt formatCode="General" sourceLinked="0"/>
        <c:majorTickMark val="none"/>
        <c:minorTickMark val="none"/>
        <c:tickLblPos val="nextTo"/>
        <c:spPr>
          <a:ln w="6480">
            <a:noFill/>
          </a:ln>
        </c:spPr>
        <c:txPr>
          <a:bodyPr/>
          <a:lstStyle/>
          <a:p>
            <a:pPr>
              <a:defRPr b="0" sz="1000" spc="-1" strike="noStrike">
                <a:solidFill>
                  <a:srgbClr val="000000"/>
                </a:solidFill>
                <a:latin typeface="Calibri"/>
                <a:ea typeface="Calibri"/>
              </a:defRPr>
            </a:pPr>
          </a:p>
        </c:txPr>
        <c:crossAx val="2346173"/>
        <c:crosses val="autoZero"/>
        <c:crossBetween val="between"/>
      </c:valAx>
      <c:spPr>
        <a:noFill/>
        <a:ln w="0">
          <a:noFill/>
        </a:ln>
      </c:spPr>
    </c:plotArea>
    <c:legend>
      <c:legendPos val="r"/>
      <c:overlay val="0"/>
      <c:spPr>
        <a:noFill/>
        <a:ln w="0">
          <a:noFill/>
        </a:ln>
      </c:spPr>
      <c:txPr>
        <a:bodyPr/>
        <a:lstStyle/>
        <a:p>
          <a:pPr>
            <a:defRPr b="0" sz="1000" spc="-1" strike="noStrike">
              <a:solidFill>
                <a:srgbClr val="1a1a1a"/>
              </a:solidFill>
              <a:latin typeface="Calibri"/>
              <a:ea typeface="Calibri"/>
            </a:defRPr>
          </a:pPr>
        </a:p>
      </c:txPr>
    </c:legend>
    <c:plotVisOnly val="1"/>
    <c:dispBlanksAs val="gap"/>
  </c:chart>
  <c:spPr>
    <a:solidFill>
      <a:srgbClr val="ffffff"/>
    </a:solidFill>
    <a:ln w="9360">
      <a:solidFill>
        <a:srgbClr val="d9d9d9"/>
      </a:solidFill>
      <a:round/>
    </a:ln>
  </c:spPr>
</c:chartSpace>
</file>

<file path=xl/charts/chart10.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757575"/>
                </a:solidFill>
                <a:latin typeface="Calibri"/>
                <a:ea typeface="Calibri"/>
              </a:defRPr>
            </a:pPr>
            <a:r>
              <a:rPr b="1" sz="1800" spc="-1" strike="noStrike">
                <a:solidFill>
                  <a:srgbClr val="757575"/>
                </a:solidFill>
                <a:latin typeface="Calibri"/>
                <a:ea typeface="Calibri"/>
              </a:rPr>
              <a:t>Perigee (X1) vs Apogee (X2) — log-log scale</a:t>
            </a:r>
          </a:p>
        </c:rich>
      </c:tx>
      <c:overlay val="0"/>
      <c:spPr>
        <a:noFill/>
        <a:ln w="0">
          <a:noFill/>
        </a:ln>
      </c:spPr>
    </c:title>
    <c:autoTitleDeleted val="0"/>
    <c:plotArea>
      <c:scatterChart>
        <c:scatterStyle val="lineMarker"/>
        <c:varyColors val="0"/>
        <c:ser>
          <c:idx val="0"/>
          <c:order val="0"/>
          <c:tx>
            <c:strRef>
              <c:f>"Satellites"</c:f>
              <c:strCache>
                <c:ptCount val="1"/>
                <c:pt idx="0">
                  <c:v>Satellites</c:v>
                </c:pt>
              </c:strCache>
            </c:strRef>
          </c:tx>
          <c:spPr>
            <a:solidFill>
              <a:srgbClr val="4f81bd"/>
            </a:solidFill>
            <a:ln w="19080">
              <a:noFill/>
            </a:ln>
          </c:spPr>
          <c:marker>
            <c:symbol val="circle"/>
            <c:size val="7"/>
            <c:spPr>
              <a:solidFill>
                <a:srgbClr val="4f81bd"/>
              </a:solidFill>
            </c:spPr>
          </c:marker>
          <c:dLbls>
            <c:txPr>
              <a:bodyPr wrap="square"/>
              <a:lstStyle/>
              <a:p>
                <a:pPr>
                  <a:defRPr b="0" sz="1000" spc="-1" strike="noStrike">
                    <a:solidFill>
                      <a:srgbClr val="000000"/>
                    </a:solidFill>
                    <a:latin typeface="Calibri"/>
                    <a:ea typeface="Calibri"/>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xVal>
            <c:numRef>
              <c:f>'Raw Data'!$E$2:$E$1001</c:f>
              <c:numCache>
                <c:formatCode>General</c:formatCode>
                <c:ptCount val="1000"/>
                <c:pt idx="0">
                  <c:v>565</c:v>
                </c:pt>
                <c:pt idx="1">
                  <c:v>539</c:v>
                </c:pt>
                <c:pt idx="2">
                  <c:v>520</c:v>
                </c:pt>
                <c:pt idx="3">
                  <c:v>1659</c:v>
                </c:pt>
                <c:pt idx="4">
                  <c:v>600</c:v>
                </c:pt>
                <c:pt idx="5">
                  <c:v>733</c:v>
                </c:pt>
                <c:pt idx="6">
                  <c:v>600</c:v>
                </c:pt>
                <c:pt idx="7">
                  <c:v>562</c:v>
                </c:pt>
                <c:pt idx="8">
                  <c:v>1200</c:v>
                </c:pt>
                <c:pt idx="9">
                  <c:v>562</c:v>
                </c:pt>
                <c:pt idx="10">
                  <c:v>590</c:v>
                </c:pt>
                <c:pt idx="11">
                  <c:v>580</c:v>
                </c:pt>
                <c:pt idx="12">
                  <c:v>550</c:v>
                </c:pt>
                <c:pt idx="13">
                  <c:v>538</c:v>
                </c:pt>
                <c:pt idx="14">
                  <c:v>548</c:v>
                </c:pt>
                <c:pt idx="15">
                  <c:v>35700</c:v>
                </c:pt>
                <c:pt idx="16">
                  <c:v>548</c:v>
                </c:pt>
                <c:pt idx="17">
                  <c:v>539</c:v>
                </c:pt>
                <c:pt idx="18">
                  <c:v>548</c:v>
                </c:pt>
                <c:pt idx="19">
                  <c:v>1412</c:v>
                </c:pt>
                <c:pt idx="20">
                  <c:v>35780</c:v>
                </c:pt>
                <c:pt idx="21">
                  <c:v>260</c:v>
                </c:pt>
                <c:pt idx="22">
                  <c:v>258</c:v>
                </c:pt>
                <c:pt idx="23">
                  <c:v>20133</c:v>
                </c:pt>
                <c:pt idx="24">
                  <c:v>379</c:v>
                </c:pt>
                <c:pt idx="25">
                  <c:v>539</c:v>
                </c:pt>
                <c:pt idx="26">
                  <c:v>486</c:v>
                </c:pt>
                <c:pt idx="27">
                  <c:v>348</c:v>
                </c:pt>
                <c:pt idx="28">
                  <c:v>577</c:v>
                </c:pt>
                <c:pt idx="29">
                  <c:v>586</c:v>
                </c:pt>
                <c:pt idx="30">
                  <c:v>696</c:v>
                </c:pt>
                <c:pt idx="31">
                  <c:v>20155</c:v>
                </c:pt>
                <c:pt idx="32">
                  <c:v>35784</c:v>
                </c:pt>
                <c:pt idx="33">
                  <c:v>8063</c:v>
                </c:pt>
                <c:pt idx="34">
                  <c:v>348</c:v>
                </c:pt>
                <c:pt idx="35">
                  <c:v>35773</c:v>
                </c:pt>
                <c:pt idx="36">
                  <c:v>565</c:v>
                </c:pt>
                <c:pt idx="37">
                  <c:v>548</c:v>
                </c:pt>
                <c:pt idx="38">
                  <c:v>500</c:v>
                </c:pt>
                <c:pt idx="39">
                  <c:v>35790</c:v>
                </c:pt>
                <c:pt idx="40">
                  <c:v>538</c:v>
                </c:pt>
                <c:pt idx="41">
                  <c:v>358</c:v>
                </c:pt>
                <c:pt idx="42">
                  <c:v>495</c:v>
                </c:pt>
                <c:pt idx="43">
                  <c:v>1200</c:v>
                </c:pt>
                <c:pt idx="44">
                  <c:v>565</c:v>
                </c:pt>
                <c:pt idx="45">
                  <c:v>351</c:v>
                </c:pt>
                <c:pt idx="46">
                  <c:v>345</c:v>
                </c:pt>
                <c:pt idx="47">
                  <c:v>565</c:v>
                </c:pt>
                <c:pt idx="48">
                  <c:v>1176</c:v>
                </c:pt>
                <c:pt idx="49">
                  <c:v>608</c:v>
                </c:pt>
                <c:pt idx="50">
                  <c:v>548</c:v>
                </c:pt>
                <c:pt idx="51">
                  <c:v>260</c:v>
                </c:pt>
                <c:pt idx="52">
                  <c:v>35777</c:v>
                </c:pt>
                <c:pt idx="53">
                  <c:v>496</c:v>
                </c:pt>
                <c:pt idx="54">
                  <c:v>348</c:v>
                </c:pt>
                <c:pt idx="55">
                  <c:v>539</c:v>
                </c:pt>
                <c:pt idx="56">
                  <c:v>260</c:v>
                </c:pt>
                <c:pt idx="57">
                  <c:v>548</c:v>
                </c:pt>
                <c:pt idx="58">
                  <c:v>35787</c:v>
                </c:pt>
                <c:pt idx="59">
                  <c:v>539</c:v>
                </c:pt>
                <c:pt idx="60">
                  <c:v>1478</c:v>
                </c:pt>
                <c:pt idx="61">
                  <c:v>522</c:v>
                </c:pt>
                <c:pt idx="62">
                  <c:v>565</c:v>
                </c:pt>
                <c:pt idx="63">
                  <c:v>539</c:v>
                </c:pt>
                <c:pt idx="64">
                  <c:v>565</c:v>
                </c:pt>
                <c:pt idx="65">
                  <c:v>260</c:v>
                </c:pt>
                <c:pt idx="66">
                  <c:v>548</c:v>
                </c:pt>
                <c:pt idx="67">
                  <c:v>539</c:v>
                </c:pt>
                <c:pt idx="68">
                  <c:v>1184</c:v>
                </c:pt>
                <c:pt idx="69">
                  <c:v>524</c:v>
                </c:pt>
                <c:pt idx="70">
                  <c:v>524</c:v>
                </c:pt>
                <c:pt idx="71">
                  <c:v>260</c:v>
                </c:pt>
                <c:pt idx="72">
                  <c:v>538</c:v>
                </c:pt>
                <c:pt idx="73">
                  <c:v>548</c:v>
                </c:pt>
                <c:pt idx="74">
                  <c:v>521</c:v>
                </c:pt>
                <c:pt idx="75">
                  <c:v>35778</c:v>
                </c:pt>
                <c:pt idx="76">
                  <c:v>548</c:v>
                </c:pt>
                <c:pt idx="77">
                  <c:v>590</c:v>
                </c:pt>
                <c:pt idx="78">
                  <c:v>622</c:v>
                </c:pt>
                <c:pt idx="79">
                  <c:v>564</c:v>
                </c:pt>
                <c:pt idx="80">
                  <c:v>35791</c:v>
                </c:pt>
                <c:pt idx="81">
                  <c:v>487</c:v>
                </c:pt>
                <c:pt idx="82">
                  <c:v>548</c:v>
                </c:pt>
                <c:pt idx="83">
                  <c:v>668</c:v>
                </c:pt>
                <c:pt idx="84">
                  <c:v>565</c:v>
                </c:pt>
                <c:pt idx="85">
                  <c:v>348</c:v>
                </c:pt>
                <c:pt idx="86">
                  <c:v>348</c:v>
                </c:pt>
                <c:pt idx="87">
                  <c:v>498</c:v>
                </c:pt>
                <c:pt idx="88">
                  <c:v>538</c:v>
                </c:pt>
                <c:pt idx="89">
                  <c:v>549</c:v>
                </c:pt>
                <c:pt idx="90">
                  <c:v>538</c:v>
                </c:pt>
                <c:pt idx="91">
                  <c:v>538</c:v>
                </c:pt>
                <c:pt idx="92">
                  <c:v>1200</c:v>
                </c:pt>
                <c:pt idx="93">
                  <c:v>35778</c:v>
                </c:pt>
                <c:pt idx="94">
                  <c:v>577</c:v>
                </c:pt>
                <c:pt idx="95">
                  <c:v>35772</c:v>
                </c:pt>
                <c:pt idx="96">
                  <c:v>538</c:v>
                </c:pt>
                <c:pt idx="97">
                  <c:v>569</c:v>
                </c:pt>
                <c:pt idx="98">
                  <c:v>8062</c:v>
                </c:pt>
                <c:pt idx="99">
                  <c:v>539</c:v>
                </c:pt>
                <c:pt idx="100">
                  <c:v>35772</c:v>
                </c:pt>
                <c:pt idx="101">
                  <c:v>35794</c:v>
                </c:pt>
                <c:pt idx="102">
                  <c:v>1184</c:v>
                </c:pt>
                <c:pt idx="103">
                  <c:v>539</c:v>
                </c:pt>
                <c:pt idx="104">
                  <c:v>539</c:v>
                </c:pt>
                <c:pt idx="105">
                  <c:v>564</c:v>
                </c:pt>
                <c:pt idx="106">
                  <c:v>260</c:v>
                </c:pt>
                <c:pt idx="107">
                  <c:v>495</c:v>
                </c:pt>
                <c:pt idx="108">
                  <c:v>522</c:v>
                </c:pt>
                <c:pt idx="109">
                  <c:v>493</c:v>
                </c:pt>
                <c:pt idx="110">
                  <c:v>348</c:v>
                </c:pt>
                <c:pt idx="111">
                  <c:v>559</c:v>
                </c:pt>
                <c:pt idx="112">
                  <c:v>549</c:v>
                </c:pt>
                <c:pt idx="113">
                  <c:v>548</c:v>
                </c:pt>
                <c:pt idx="114">
                  <c:v>35784</c:v>
                </c:pt>
                <c:pt idx="115">
                  <c:v>908</c:v>
                </c:pt>
                <c:pt idx="116">
                  <c:v>461</c:v>
                </c:pt>
                <c:pt idx="117">
                  <c:v>519</c:v>
                </c:pt>
                <c:pt idx="118">
                  <c:v>590</c:v>
                </c:pt>
                <c:pt idx="119">
                  <c:v>549</c:v>
                </c:pt>
                <c:pt idx="120">
                  <c:v>538</c:v>
                </c:pt>
                <c:pt idx="121">
                  <c:v>500</c:v>
                </c:pt>
                <c:pt idx="122">
                  <c:v>580</c:v>
                </c:pt>
                <c:pt idx="123">
                  <c:v>35784</c:v>
                </c:pt>
                <c:pt idx="124">
                  <c:v>539</c:v>
                </c:pt>
                <c:pt idx="125">
                  <c:v>522</c:v>
                </c:pt>
                <c:pt idx="126">
                  <c:v>548</c:v>
                </c:pt>
                <c:pt idx="127">
                  <c:v>8063</c:v>
                </c:pt>
                <c:pt idx="128">
                  <c:v>348</c:v>
                </c:pt>
                <c:pt idx="129">
                  <c:v>610</c:v>
                </c:pt>
                <c:pt idx="130">
                  <c:v>260</c:v>
                </c:pt>
                <c:pt idx="131">
                  <c:v>561</c:v>
                </c:pt>
                <c:pt idx="132">
                  <c:v>538</c:v>
                </c:pt>
                <c:pt idx="133">
                  <c:v>548</c:v>
                </c:pt>
                <c:pt idx="134">
                  <c:v>697</c:v>
                </c:pt>
                <c:pt idx="135">
                  <c:v>23240</c:v>
                </c:pt>
                <c:pt idx="136">
                  <c:v>548</c:v>
                </c:pt>
                <c:pt idx="137">
                  <c:v>539</c:v>
                </c:pt>
                <c:pt idx="138">
                  <c:v>526</c:v>
                </c:pt>
                <c:pt idx="139">
                  <c:v>531</c:v>
                </c:pt>
                <c:pt idx="140">
                  <c:v>565</c:v>
                </c:pt>
                <c:pt idx="141">
                  <c:v>23217</c:v>
                </c:pt>
                <c:pt idx="142">
                  <c:v>548</c:v>
                </c:pt>
                <c:pt idx="143">
                  <c:v>35785</c:v>
                </c:pt>
                <c:pt idx="144">
                  <c:v>538</c:v>
                </c:pt>
                <c:pt idx="145">
                  <c:v>538</c:v>
                </c:pt>
                <c:pt idx="146">
                  <c:v>556</c:v>
                </c:pt>
                <c:pt idx="147">
                  <c:v>580</c:v>
                </c:pt>
                <c:pt idx="148">
                  <c:v>548</c:v>
                </c:pt>
                <c:pt idx="149">
                  <c:v>518</c:v>
                </c:pt>
                <c:pt idx="150">
                  <c:v>348</c:v>
                </c:pt>
                <c:pt idx="151">
                  <c:v>569</c:v>
                </c:pt>
                <c:pt idx="152">
                  <c:v>495</c:v>
                </c:pt>
                <c:pt idx="153">
                  <c:v>428</c:v>
                </c:pt>
                <c:pt idx="154">
                  <c:v>9999</c:v>
                </c:pt>
                <c:pt idx="155">
                  <c:v>539</c:v>
                </c:pt>
                <c:pt idx="156">
                  <c:v>549</c:v>
                </c:pt>
                <c:pt idx="157">
                  <c:v>348</c:v>
                </c:pt>
                <c:pt idx="158">
                  <c:v>538</c:v>
                </c:pt>
                <c:pt idx="159">
                  <c:v>562</c:v>
                </c:pt>
                <c:pt idx="160">
                  <c:v>549</c:v>
                </c:pt>
                <c:pt idx="161">
                  <c:v>348</c:v>
                </c:pt>
                <c:pt idx="162">
                  <c:v>549</c:v>
                </c:pt>
                <c:pt idx="163">
                  <c:v>35769</c:v>
                </c:pt>
                <c:pt idx="164">
                  <c:v>548</c:v>
                </c:pt>
                <c:pt idx="165">
                  <c:v>577</c:v>
                </c:pt>
                <c:pt idx="166">
                  <c:v>565</c:v>
                </c:pt>
                <c:pt idx="167">
                  <c:v>348</c:v>
                </c:pt>
                <c:pt idx="168">
                  <c:v>538</c:v>
                </c:pt>
                <c:pt idx="169">
                  <c:v>567</c:v>
                </c:pt>
                <c:pt idx="170">
                  <c:v>548</c:v>
                </c:pt>
                <c:pt idx="171">
                  <c:v>549</c:v>
                </c:pt>
                <c:pt idx="172">
                  <c:v>549</c:v>
                </c:pt>
                <c:pt idx="173">
                  <c:v>565</c:v>
                </c:pt>
                <c:pt idx="174">
                  <c:v>523</c:v>
                </c:pt>
                <c:pt idx="175">
                  <c:v>556</c:v>
                </c:pt>
                <c:pt idx="176">
                  <c:v>565</c:v>
                </c:pt>
                <c:pt idx="177">
                  <c:v>538</c:v>
                </c:pt>
                <c:pt idx="178">
                  <c:v>569</c:v>
                </c:pt>
                <c:pt idx="179">
                  <c:v>565</c:v>
                </c:pt>
                <c:pt idx="180">
                  <c:v>516</c:v>
                </c:pt>
                <c:pt idx="181">
                  <c:v>548</c:v>
                </c:pt>
                <c:pt idx="182">
                  <c:v>1200</c:v>
                </c:pt>
                <c:pt idx="183">
                  <c:v>549</c:v>
                </c:pt>
                <c:pt idx="184">
                  <c:v>500</c:v>
                </c:pt>
                <c:pt idx="185">
                  <c:v>348</c:v>
                </c:pt>
                <c:pt idx="186">
                  <c:v>522</c:v>
                </c:pt>
                <c:pt idx="187">
                  <c:v>35774</c:v>
                </c:pt>
                <c:pt idx="188">
                  <c:v>539</c:v>
                </c:pt>
                <c:pt idx="189">
                  <c:v>539</c:v>
                </c:pt>
                <c:pt idx="190">
                  <c:v>495</c:v>
                </c:pt>
                <c:pt idx="191">
                  <c:v>586</c:v>
                </c:pt>
                <c:pt idx="192">
                  <c:v>668</c:v>
                </c:pt>
                <c:pt idx="193">
                  <c:v>538</c:v>
                </c:pt>
                <c:pt idx="194">
                  <c:v>1215</c:v>
                </c:pt>
                <c:pt idx="195">
                  <c:v>35864</c:v>
                </c:pt>
                <c:pt idx="196">
                  <c:v>655</c:v>
                </c:pt>
                <c:pt idx="197">
                  <c:v>491</c:v>
                </c:pt>
                <c:pt idx="198">
                  <c:v>608</c:v>
                </c:pt>
                <c:pt idx="199">
                  <c:v>539</c:v>
                </c:pt>
                <c:pt idx="200">
                  <c:v>549</c:v>
                </c:pt>
                <c:pt idx="201">
                  <c:v>548</c:v>
                </c:pt>
                <c:pt idx="202">
                  <c:v>538</c:v>
                </c:pt>
                <c:pt idx="203">
                  <c:v>535</c:v>
                </c:pt>
                <c:pt idx="204">
                  <c:v>35722</c:v>
                </c:pt>
                <c:pt idx="205">
                  <c:v>539</c:v>
                </c:pt>
                <c:pt idx="206">
                  <c:v>517</c:v>
                </c:pt>
                <c:pt idx="207">
                  <c:v>965</c:v>
                </c:pt>
                <c:pt idx="208">
                  <c:v>549</c:v>
                </c:pt>
                <c:pt idx="209">
                  <c:v>521</c:v>
                </c:pt>
                <c:pt idx="210">
                  <c:v>35784</c:v>
                </c:pt>
                <c:pt idx="211">
                  <c:v>538</c:v>
                </c:pt>
                <c:pt idx="212">
                  <c:v>538</c:v>
                </c:pt>
                <c:pt idx="213">
                  <c:v>584</c:v>
                </c:pt>
                <c:pt idx="214">
                  <c:v>586</c:v>
                </c:pt>
                <c:pt idx="215">
                  <c:v>514</c:v>
                </c:pt>
                <c:pt idx="216">
                  <c:v>562</c:v>
                </c:pt>
                <c:pt idx="217">
                  <c:v>733</c:v>
                </c:pt>
                <c:pt idx="218">
                  <c:v>1215</c:v>
                </c:pt>
                <c:pt idx="219">
                  <c:v>23265</c:v>
                </c:pt>
                <c:pt idx="220">
                  <c:v>35785</c:v>
                </c:pt>
                <c:pt idx="221">
                  <c:v>548</c:v>
                </c:pt>
                <c:pt idx="222">
                  <c:v>485</c:v>
                </c:pt>
                <c:pt idx="223">
                  <c:v>683</c:v>
                </c:pt>
                <c:pt idx="224">
                  <c:v>348</c:v>
                </c:pt>
                <c:pt idx="225">
                  <c:v>479</c:v>
                </c:pt>
                <c:pt idx="226">
                  <c:v>22982</c:v>
                </c:pt>
                <c:pt idx="227">
                  <c:v>548</c:v>
                </c:pt>
                <c:pt idx="228">
                  <c:v>35777</c:v>
                </c:pt>
                <c:pt idx="229">
                  <c:v>577</c:v>
                </c:pt>
                <c:pt idx="230">
                  <c:v>348</c:v>
                </c:pt>
                <c:pt idx="231">
                  <c:v>1215</c:v>
                </c:pt>
                <c:pt idx="232">
                  <c:v>491</c:v>
                </c:pt>
                <c:pt idx="233">
                  <c:v>348</c:v>
                </c:pt>
                <c:pt idx="234">
                  <c:v>539</c:v>
                </c:pt>
                <c:pt idx="235">
                  <c:v>260</c:v>
                </c:pt>
                <c:pt idx="236">
                  <c:v>549</c:v>
                </c:pt>
                <c:pt idx="237">
                  <c:v>565</c:v>
                </c:pt>
                <c:pt idx="238">
                  <c:v>580</c:v>
                </c:pt>
                <c:pt idx="239">
                  <c:v>565</c:v>
                </c:pt>
                <c:pt idx="240">
                  <c:v>549</c:v>
                </c:pt>
                <c:pt idx="241">
                  <c:v>404</c:v>
                </c:pt>
                <c:pt idx="242">
                  <c:v>349</c:v>
                </c:pt>
                <c:pt idx="243">
                  <c:v>518</c:v>
                </c:pt>
                <c:pt idx="244">
                  <c:v>378</c:v>
                </c:pt>
                <c:pt idx="245">
                  <c:v>1215</c:v>
                </c:pt>
                <c:pt idx="246">
                  <c:v>580</c:v>
                </c:pt>
                <c:pt idx="247">
                  <c:v>348</c:v>
                </c:pt>
                <c:pt idx="248">
                  <c:v>977</c:v>
                </c:pt>
                <c:pt idx="249">
                  <c:v>577</c:v>
                </c:pt>
                <c:pt idx="250">
                  <c:v>548</c:v>
                </c:pt>
                <c:pt idx="251">
                  <c:v>483</c:v>
                </c:pt>
                <c:pt idx="252">
                  <c:v>548</c:v>
                </c:pt>
                <c:pt idx="253">
                  <c:v>488</c:v>
                </c:pt>
                <c:pt idx="254">
                  <c:v>577</c:v>
                </c:pt>
                <c:pt idx="255">
                  <c:v>548</c:v>
                </c:pt>
                <c:pt idx="256">
                  <c:v>358</c:v>
                </c:pt>
                <c:pt idx="257">
                  <c:v>565</c:v>
                </c:pt>
                <c:pt idx="258">
                  <c:v>538</c:v>
                </c:pt>
                <c:pt idx="259">
                  <c:v>548</c:v>
                </c:pt>
                <c:pt idx="260">
                  <c:v>538</c:v>
                </c:pt>
                <c:pt idx="261">
                  <c:v>562</c:v>
                </c:pt>
                <c:pt idx="262">
                  <c:v>495</c:v>
                </c:pt>
                <c:pt idx="263">
                  <c:v>538</c:v>
                </c:pt>
                <c:pt idx="264">
                  <c:v>35780</c:v>
                </c:pt>
                <c:pt idx="265">
                  <c:v>500</c:v>
                </c:pt>
                <c:pt idx="266">
                  <c:v>379</c:v>
                </c:pt>
                <c:pt idx="267">
                  <c:v>539</c:v>
                </c:pt>
                <c:pt idx="268">
                  <c:v>8062</c:v>
                </c:pt>
                <c:pt idx="269">
                  <c:v>548</c:v>
                </c:pt>
                <c:pt idx="270">
                  <c:v>977</c:v>
                </c:pt>
                <c:pt idx="271">
                  <c:v>548</c:v>
                </c:pt>
                <c:pt idx="272">
                  <c:v>539</c:v>
                </c:pt>
                <c:pt idx="273">
                  <c:v>590</c:v>
                </c:pt>
                <c:pt idx="274">
                  <c:v>564</c:v>
                </c:pt>
                <c:pt idx="275">
                  <c:v>494</c:v>
                </c:pt>
                <c:pt idx="276">
                  <c:v>392</c:v>
                </c:pt>
                <c:pt idx="277">
                  <c:v>901</c:v>
                </c:pt>
                <c:pt idx="278">
                  <c:v>733</c:v>
                </c:pt>
                <c:pt idx="279">
                  <c:v>35772</c:v>
                </c:pt>
                <c:pt idx="280">
                  <c:v>35783</c:v>
                </c:pt>
                <c:pt idx="281">
                  <c:v>348</c:v>
                </c:pt>
                <c:pt idx="282">
                  <c:v>668</c:v>
                </c:pt>
                <c:pt idx="283">
                  <c:v>565</c:v>
                </c:pt>
                <c:pt idx="284">
                  <c:v>360</c:v>
                </c:pt>
                <c:pt idx="285">
                  <c:v>612</c:v>
                </c:pt>
                <c:pt idx="286">
                  <c:v>549</c:v>
                </c:pt>
                <c:pt idx="287">
                  <c:v>260</c:v>
                </c:pt>
                <c:pt idx="288">
                  <c:v>522</c:v>
                </c:pt>
                <c:pt idx="289">
                  <c:v>565</c:v>
                </c:pt>
                <c:pt idx="290">
                  <c:v>548</c:v>
                </c:pt>
                <c:pt idx="291">
                  <c:v>258</c:v>
                </c:pt>
                <c:pt idx="292">
                  <c:v>535</c:v>
                </c:pt>
                <c:pt idx="293">
                  <c:v>548</c:v>
                </c:pt>
                <c:pt idx="294">
                  <c:v>258</c:v>
                </c:pt>
                <c:pt idx="295">
                  <c:v>538</c:v>
                </c:pt>
                <c:pt idx="296">
                  <c:v>548</c:v>
                </c:pt>
                <c:pt idx="297">
                  <c:v>607</c:v>
                </c:pt>
                <c:pt idx="298">
                  <c:v>35796</c:v>
                </c:pt>
                <c:pt idx="299">
                  <c:v>538</c:v>
                </c:pt>
                <c:pt idx="300">
                  <c:v>589</c:v>
                </c:pt>
                <c:pt idx="301">
                  <c:v>577</c:v>
                </c:pt>
                <c:pt idx="302">
                  <c:v>520</c:v>
                </c:pt>
                <c:pt idx="303">
                  <c:v>496</c:v>
                </c:pt>
                <c:pt idx="304">
                  <c:v>348</c:v>
                </c:pt>
                <c:pt idx="305">
                  <c:v>345</c:v>
                </c:pt>
                <c:pt idx="306">
                  <c:v>538</c:v>
                </c:pt>
                <c:pt idx="307">
                  <c:v>577</c:v>
                </c:pt>
                <c:pt idx="308">
                  <c:v>1080</c:v>
                </c:pt>
                <c:pt idx="309">
                  <c:v>1486</c:v>
                </c:pt>
                <c:pt idx="310">
                  <c:v>565</c:v>
                </c:pt>
                <c:pt idx="311">
                  <c:v>556</c:v>
                </c:pt>
                <c:pt idx="312">
                  <c:v>524</c:v>
                </c:pt>
                <c:pt idx="313">
                  <c:v>543</c:v>
                </c:pt>
                <c:pt idx="314">
                  <c:v>569</c:v>
                </c:pt>
                <c:pt idx="315">
                  <c:v>360</c:v>
                </c:pt>
                <c:pt idx="316">
                  <c:v>661</c:v>
                </c:pt>
                <c:pt idx="317">
                  <c:v>608</c:v>
                </c:pt>
                <c:pt idx="318">
                  <c:v>1176</c:v>
                </c:pt>
                <c:pt idx="319">
                  <c:v>842</c:v>
                </c:pt>
                <c:pt idx="320">
                  <c:v>611</c:v>
                </c:pt>
                <c:pt idx="321">
                  <c:v>590</c:v>
                </c:pt>
                <c:pt idx="322">
                  <c:v>501</c:v>
                </c:pt>
                <c:pt idx="323">
                  <c:v>538</c:v>
                </c:pt>
                <c:pt idx="324">
                  <c:v>35770</c:v>
                </c:pt>
                <c:pt idx="325">
                  <c:v>530</c:v>
                </c:pt>
                <c:pt idx="326">
                  <c:v>739</c:v>
                </c:pt>
                <c:pt idx="327">
                  <c:v>564</c:v>
                </c:pt>
                <c:pt idx="328">
                  <c:v>548</c:v>
                </c:pt>
                <c:pt idx="329">
                  <c:v>539</c:v>
                </c:pt>
                <c:pt idx="330">
                  <c:v>539</c:v>
                </c:pt>
                <c:pt idx="331">
                  <c:v>539</c:v>
                </c:pt>
                <c:pt idx="332">
                  <c:v>627</c:v>
                </c:pt>
                <c:pt idx="333">
                  <c:v>150</c:v>
                </c:pt>
                <c:pt idx="334">
                  <c:v>479</c:v>
                </c:pt>
                <c:pt idx="335">
                  <c:v>564</c:v>
                </c:pt>
                <c:pt idx="336">
                  <c:v>549</c:v>
                </c:pt>
                <c:pt idx="337">
                  <c:v>548</c:v>
                </c:pt>
                <c:pt idx="338">
                  <c:v>539</c:v>
                </c:pt>
                <c:pt idx="339">
                  <c:v>564</c:v>
                </c:pt>
                <c:pt idx="340">
                  <c:v>573</c:v>
                </c:pt>
                <c:pt idx="341">
                  <c:v>443</c:v>
                </c:pt>
                <c:pt idx="342">
                  <c:v>600</c:v>
                </c:pt>
                <c:pt idx="343">
                  <c:v>609</c:v>
                </c:pt>
                <c:pt idx="344">
                  <c:v>609</c:v>
                </c:pt>
                <c:pt idx="345">
                  <c:v>1176</c:v>
                </c:pt>
                <c:pt idx="346">
                  <c:v>611</c:v>
                </c:pt>
                <c:pt idx="347">
                  <c:v>577</c:v>
                </c:pt>
                <c:pt idx="348">
                  <c:v>533</c:v>
                </c:pt>
                <c:pt idx="349">
                  <c:v>35759</c:v>
                </c:pt>
                <c:pt idx="350">
                  <c:v>35693</c:v>
                </c:pt>
                <c:pt idx="351">
                  <c:v>21514</c:v>
                </c:pt>
                <c:pt idx="352">
                  <c:v>562</c:v>
                </c:pt>
                <c:pt idx="353">
                  <c:v>577</c:v>
                </c:pt>
                <c:pt idx="354">
                  <c:v>562</c:v>
                </c:pt>
                <c:pt idx="355">
                  <c:v>977</c:v>
                </c:pt>
                <c:pt idx="356">
                  <c:v>521</c:v>
                </c:pt>
                <c:pt idx="357">
                  <c:v>260</c:v>
                </c:pt>
                <c:pt idx="358">
                  <c:v>561</c:v>
                </c:pt>
                <c:pt idx="359">
                  <c:v>348</c:v>
                </c:pt>
                <c:pt idx="360">
                  <c:v>604</c:v>
                </c:pt>
                <c:pt idx="361">
                  <c:v>548</c:v>
                </c:pt>
                <c:pt idx="362">
                  <c:v>577</c:v>
                </c:pt>
                <c:pt idx="363">
                  <c:v>489</c:v>
                </c:pt>
                <c:pt idx="364">
                  <c:v>19131</c:v>
                </c:pt>
                <c:pt idx="365">
                  <c:v>376</c:v>
                </c:pt>
                <c:pt idx="366">
                  <c:v>549</c:v>
                </c:pt>
                <c:pt idx="367">
                  <c:v>548</c:v>
                </c:pt>
                <c:pt idx="368">
                  <c:v>606</c:v>
                </c:pt>
                <c:pt idx="369">
                  <c:v>512</c:v>
                </c:pt>
                <c:pt idx="370">
                  <c:v>693</c:v>
                </c:pt>
                <c:pt idx="371">
                  <c:v>565</c:v>
                </c:pt>
                <c:pt idx="372">
                  <c:v>358</c:v>
                </c:pt>
                <c:pt idx="373">
                  <c:v>538</c:v>
                </c:pt>
                <c:pt idx="374">
                  <c:v>358</c:v>
                </c:pt>
                <c:pt idx="375">
                  <c:v>548</c:v>
                </c:pt>
                <c:pt idx="376">
                  <c:v>507</c:v>
                </c:pt>
                <c:pt idx="377">
                  <c:v>400</c:v>
                </c:pt>
                <c:pt idx="378">
                  <c:v>474</c:v>
                </c:pt>
                <c:pt idx="379">
                  <c:v>565</c:v>
                </c:pt>
                <c:pt idx="380">
                  <c:v>1215</c:v>
                </c:pt>
                <c:pt idx="381">
                  <c:v>1215</c:v>
                </c:pt>
                <c:pt idx="382">
                  <c:v>258</c:v>
                </c:pt>
                <c:pt idx="383">
                  <c:v>549</c:v>
                </c:pt>
                <c:pt idx="384">
                  <c:v>549</c:v>
                </c:pt>
                <c:pt idx="385">
                  <c:v>433</c:v>
                </c:pt>
                <c:pt idx="386">
                  <c:v>35794</c:v>
                </c:pt>
                <c:pt idx="387">
                  <c:v>527</c:v>
                </c:pt>
                <c:pt idx="388">
                  <c:v>562</c:v>
                </c:pt>
                <c:pt idx="389">
                  <c:v>494</c:v>
                </c:pt>
                <c:pt idx="390">
                  <c:v>548</c:v>
                </c:pt>
                <c:pt idx="391">
                  <c:v>442</c:v>
                </c:pt>
                <c:pt idx="392">
                  <c:v>548</c:v>
                </c:pt>
                <c:pt idx="393">
                  <c:v>348</c:v>
                </c:pt>
                <c:pt idx="394">
                  <c:v>513</c:v>
                </c:pt>
                <c:pt idx="395">
                  <c:v>571</c:v>
                </c:pt>
                <c:pt idx="396">
                  <c:v>564</c:v>
                </c:pt>
                <c:pt idx="397">
                  <c:v>548</c:v>
                </c:pt>
                <c:pt idx="398">
                  <c:v>35785</c:v>
                </c:pt>
                <c:pt idx="399">
                  <c:v>348</c:v>
                </c:pt>
                <c:pt idx="400">
                  <c:v>772</c:v>
                </c:pt>
                <c:pt idx="401">
                  <c:v>564</c:v>
                </c:pt>
                <c:pt idx="402">
                  <c:v>348</c:v>
                </c:pt>
                <c:pt idx="403">
                  <c:v>514</c:v>
                </c:pt>
                <c:pt idx="404">
                  <c:v>539</c:v>
                </c:pt>
                <c:pt idx="405">
                  <c:v>577</c:v>
                </c:pt>
                <c:pt idx="406">
                  <c:v>548</c:v>
                </c:pt>
                <c:pt idx="407">
                  <c:v>548</c:v>
                </c:pt>
                <c:pt idx="408">
                  <c:v>689</c:v>
                </c:pt>
                <c:pt idx="409">
                  <c:v>548</c:v>
                </c:pt>
                <c:pt idx="410">
                  <c:v>35774</c:v>
                </c:pt>
                <c:pt idx="411">
                  <c:v>587</c:v>
                </c:pt>
                <c:pt idx="412">
                  <c:v>527</c:v>
                </c:pt>
                <c:pt idx="413">
                  <c:v>35784</c:v>
                </c:pt>
                <c:pt idx="414">
                  <c:v>548</c:v>
                </c:pt>
                <c:pt idx="415">
                  <c:v>1215</c:v>
                </c:pt>
                <c:pt idx="416">
                  <c:v>570</c:v>
                </c:pt>
                <c:pt idx="417">
                  <c:v>529</c:v>
                </c:pt>
                <c:pt idx="418">
                  <c:v>348</c:v>
                </c:pt>
                <c:pt idx="419">
                  <c:v>548</c:v>
                </c:pt>
                <c:pt idx="420">
                  <c:v>548</c:v>
                </c:pt>
                <c:pt idx="421">
                  <c:v>549</c:v>
                </c:pt>
                <c:pt idx="422">
                  <c:v>573</c:v>
                </c:pt>
                <c:pt idx="423">
                  <c:v>549</c:v>
                </c:pt>
                <c:pt idx="424">
                  <c:v>476</c:v>
                </c:pt>
                <c:pt idx="425">
                  <c:v>240</c:v>
                </c:pt>
                <c:pt idx="426">
                  <c:v>496</c:v>
                </c:pt>
                <c:pt idx="427">
                  <c:v>548</c:v>
                </c:pt>
                <c:pt idx="428">
                  <c:v>360</c:v>
                </c:pt>
                <c:pt idx="429">
                  <c:v>586</c:v>
                </c:pt>
                <c:pt idx="430">
                  <c:v>539</c:v>
                </c:pt>
                <c:pt idx="431">
                  <c:v>580</c:v>
                </c:pt>
                <c:pt idx="432">
                  <c:v>35613</c:v>
                </c:pt>
                <c:pt idx="433">
                  <c:v>549</c:v>
                </c:pt>
                <c:pt idx="434">
                  <c:v>600</c:v>
                </c:pt>
                <c:pt idx="435">
                  <c:v>35774</c:v>
                </c:pt>
                <c:pt idx="436">
                  <c:v>658</c:v>
                </c:pt>
                <c:pt idx="437">
                  <c:v>538</c:v>
                </c:pt>
                <c:pt idx="438">
                  <c:v>258</c:v>
                </c:pt>
                <c:pt idx="439">
                  <c:v>348</c:v>
                </c:pt>
                <c:pt idx="440">
                  <c:v>538</c:v>
                </c:pt>
                <c:pt idx="441">
                  <c:v>507</c:v>
                </c:pt>
                <c:pt idx="442">
                  <c:v>515</c:v>
                </c:pt>
                <c:pt idx="443">
                  <c:v>539</c:v>
                </c:pt>
                <c:pt idx="444">
                  <c:v>539</c:v>
                </c:pt>
                <c:pt idx="445">
                  <c:v>476</c:v>
                </c:pt>
                <c:pt idx="446">
                  <c:v>258</c:v>
                </c:pt>
                <c:pt idx="447">
                  <c:v>548</c:v>
                </c:pt>
                <c:pt idx="448">
                  <c:v>538</c:v>
                </c:pt>
                <c:pt idx="449">
                  <c:v>539</c:v>
                </c:pt>
                <c:pt idx="450">
                  <c:v>476</c:v>
                </c:pt>
                <c:pt idx="451">
                  <c:v>538</c:v>
                </c:pt>
                <c:pt idx="452">
                  <c:v>590</c:v>
                </c:pt>
                <c:pt idx="453">
                  <c:v>1200</c:v>
                </c:pt>
                <c:pt idx="454">
                  <c:v>570</c:v>
                </c:pt>
                <c:pt idx="455">
                  <c:v>476</c:v>
                </c:pt>
                <c:pt idx="456">
                  <c:v>548</c:v>
                </c:pt>
                <c:pt idx="457">
                  <c:v>323</c:v>
                </c:pt>
                <c:pt idx="458">
                  <c:v>1215</c:v>
                </c:pt>
                <c:pt idx="459">
                  <c:v>496</c:v>
                </c:pt>
                <c:pt idx="460">
                  <c:v>539</c:v>
                </c:pt>
                <c:pt idx="461">
                  <c:v>35777</c:v>
                </c:pt>
                <c:pt idx="462">
                  <c:v>548</c:v>
                </c:pt>
                <c:pt idx="463">
                  <c:v>1200</c:v>
                </c:pt>
                <c:pt idx="464">
                  <c:v>548</c:v>
                </c:pt>
                <c:pt idx="465">
                  <c:v>539</c:v>
                </c:pt>
                <c:pt idx="466">
                  <c:v>1417</c:v>
                </c:pt>
                <c:pt idx="467">
                  <c:v>565</c:v>
                </c:pt>
                <c:pt idx="468">
                  <c:v>569</c:v>
                </c:pt>
                <c:pt idx="469">
                  <c:v>548</c:v>
                </c:pt>
                <c:pt idx="470">
                  <c:v>527</c:v>
                </c:pt>
                <c:pt idx="471">
                  <c:v>566</c:v>
                </c:pt>
                <c:pt idx="472">
                  <c:v>348</c:v>
                </c:pt>
                <c:pt idx="473">
                  <c:v>305</c:v>
                </c:pt>
                <c:pt idx="474">
                  <c:v>7838</c:v>
                </c:pt>
                <c:pt idx="475">
                  <c:v>37782</c:v>
                </c:pt>
                <c:pt idx="476">
                  <c:v>660</c:v>
                </c:pt>
                <c:pt idx="477">
                  <c:v>539</c:v>
                </c:pt>
                <c:pt idx="478">
                  <c:v>499</c:v>
                </c:pt>
                <c:pt idx="479">
                  <c:v>548</c:v>
                </c:pt>
                <c:pt idx="480">
                  <c:v>548</c:v>
                </c:pt>
                <c:pt idx="481">
                  <c:v>549</c:v>
                </c:pt>
                <c:pt idx="482">
                  <c:v>561</c:v>
                </c:pt>
                <c:pt idx="483">
                  <c:v>548</c:v>
                </c:pt>
                <c:pt idx="484">
                  <c:v>552</c:v>
                </c:pt>
                <c:pt idx="485">
                  <c:v>751</c:v>
                </c:pt>
                <c:pt idx="486">
                  <c:v>548</c:v>
                </c:pt>
                <c:pt idx="487">
                  <c:v>479</c:v>
                </c:pt>
                <c:pt idx="488">
                  <c:v>539</c:v>
                </c:pt>
                <c:pt idx="489">
                  <c:v>348</c:v>
                </c:pt>
                <c:pt idx="490">
                  <c:v>1215</c:v>
                </c:pt>
                <c:pt idx="491">
                  <c:v>539</c:v>
                </c:pt>
                <c:pt idx="492">
                  <c:v>35549</c:v>
                </c:pt>
                <c:pt idx="493">
                  <c:v>539</c:v>
                </c:pt>
                <c:pt idx="494">
                  <c:v>538</c:v>
                </c:pt>
                <c:pt idx="495">
                  <c:v>538</c:v>
                </c:pt>
                <c:pt idx="496">
                  <c:v>510</c:v>
                </c:pt>
                <c:pt idx="497">
                  <c:v>523</c:v>
                </c:pt>
                <c:pt idx="498">
                  <c:v>564</c:v>
                </c:pt>
                <c:pt idx="499">
                  <c:v>548</c:v>
                </c:pt>
                <c:pt idx="500">
                  <c:v>504</c:v>
                </c:pt>
                <c:pt idx="501">
                  <c:v>549</c:v>
                </c:pt>
                <c:pt idx="502">
                  <c:v>493</c:v>
                </c:pt>
                <c:pt idx="503">
                  <c:v>564</c:v>
                </c:pt>
                <c:pt idx="504">
                  <c:v>548</c:v>
                </c:pt>
                <c:pt idx="505">
                  <c:v>539</c:v>
                </c:pt>
                <c:pt idx="506">
                  <c:v>378</c:v>
                </c:pt>
                <c:pt idx="507">
                  <c:v>538</c:v>
                </c:pt>
                <c:pt idx="508">
                  <c:v>896</c:v>
                </c:pt>
                <c:pt idx="509">
                  <c:v>35786</c:v>
                </c:pt>
                <c:pt idx="510">
                  <c:v>451</c:v>
                </c:pt>
                <c:pt idx="511">
                  <c:v>549</c:v>
                </c:pt>
                <c:pt idx="512">
                  <c:v>539</c:v>
                </c:pt>
                <c:pt idx="513">
                  <c:v>35769</c:v>
                </c:pt>
                <c:pt idx="514">
                  <c:v>549</c:v>
                </c:pt>
                <c:pt idx="515">
                  <c:v>451</c:v>
                </c:pt>
                <c:pt idx="516">
                  <c:v>565</c:v>
                </c:pt>
                <c:pt idx="517">
                  <c:v>1215</c:v>
                </c:pt>
                <c:pt idx="518">
                  <c:v>548</c:v>
                </c:pt>
                <c:pt idx="519">
                  <c:v>548</c:v>
                </c:pt>
                <c:pt idx="520">
                  <c:v>548</c:v>
                </c:pt>
                <c:pt idx="521">
                  <c:v>521</c:v>
                </c:pt>
                <c:pt idx="522">
                  <c:v>35781</c:v>
                </c:pt>
                <c:pt idx="523">
                  <c:v>548</c:v>
                </c:pt>
                <c:pt idx="524">
                  <c:v>548</c:v>
                </c:pt>
                <c:pt idx="525">
                  <c:v>548</c:v>
                </c:pt>
                <c:pt idx="526">
                  <c:v>348</c:v>
                </c:pt>
                <c:pt idx="527">
                  <c:v>539</c:v>
                </c:pt>
                <c:pt idx="528">
                  <c:v>1200</c:v>
                </c:pt>
                <c:pt idx="529">
                  <c:v>589</c:v>
                </c:pt>
                <c:pt idx="530">
                  <c:v>538</c:v>
                </c:pt>
                <c:pt idx="531">
                  <c:v>1215</c:v>
                </c:pt>
                <c:pt idx="532">
                  <c:v>590</c:v>
                </c:pt>
                <c:pt idx="533">
                  <c:v>1200</c:v>
                </c:pt>
                <c:pt idx="534">
                  <c:v>35744</c:v>
                </c:pt>
                <c:pt idx="535">
                  <c:v>348</c:v>
                </c:pt>
                <c:pt idx="536">
                  <c:v>35781</c:v>
                </c:pt>
                <c:pt idx="537">
                  <c:v>20123</c:v>
                </c:pt>
                <c:pt idx="538">
                  <c:v>496</c:v>
                </c:pt>
                <c:pt idx="539">
                  <c:v>538</c:v>
                </c:pt>
                <c:pt idx="540">
                  <c:v>544</c:v>
                </c:pt>
                <c:pt idx="541">
                  <c:v>539</c:v>
                </c:pt>
                <c:pt idx="542">
                  <c:v>491</c:v>
                </c:pt>
                <c:pt idx="543">
                  <c:v>35774</c:v>
                </c:pt>
                <c:pt idx="544">
                  <c:v>569</c:v>
                </c:pt>
                <c:pt idx="545">
                  <c:v>348</c:v>
                </c:pt>
                <c:pt idx="546">
                  <c:v>549</c:v>
                </c:pt>
                <c:pt idx="547">
                  <c:v>588</c:v>
                </c:pt>
                <c:pt idx="548">
                  <c:v>539</c:v>
                </c:pt>
                <c:pt idx="549">
                  <c:v>1014</c:v>
                </c:pt>
                <c:pt idx="550">
                  <c:v>690</c:v>
                </c:pt>
                <c:pt idx="551">
                  <c:v>526</c:v>
                </c:pt>
                <c:pt idx="552">
                  <c:v>495</c:v>
                </c:pt>
                <c:pt idx="553">
                  <c:v>577</c:v>
                </c:pt>
                <c:pt idx="554">
                  <c:v>532</c:v>
                </c:pt>
                <c:pt idx="555">
                  <c:v>592</c:v>
                </c:pt>
                <c:pt idx="556">
                  <c:v>377</c:v>
                </c:pt>
                <c:pt idx="557">
                  <c:v>565</c:v>
                </c:pt>
                <c:pt idx="558">
                  <c:v>590</c:v>
                </c:pt>
                <c:pt idx="559">
                  <c:v>535</c:v>
                </c:pt>
                <c:pt idx="560">
                  <c:v>569</c:v>
                </c:pt>
                <c:pt idx="561">
                  <c:v>1200</c:v>
                </c:pt>
                <c:pt idx="562">
                  <c:v>524</c:v>
                </c:pt>
                <c:pt idx="563">
                  <c:v>539</c:v>
                </c:pt>
                <c:pt idx="564">
                  <c:v>565</c:v>
                </c:pt>
                <c:pt idx="565">
                  <c:v>1200</c:v>
                </c:pt>
                <c:pt idx="566">
                  <c:v>549</c:v>
                </c:pt>
                <c:pt idx="567">
                  <c:v>517</c:v>
                </c:pt>
                <c:pt idx="568">
                  <c:v>379</c:v>
                </c:pt>
                <c:pt idx="569">
                  <c:v>556</c:v>
                </c:pt>
                <c:pt idx="570">
                  <c:v>1200</c:v>
                </c:pt>
                <c:pt idx="571">
                  <c:v>358</c:v>
                </c:pt>
                <c:pt idx="572">
                  <c:v>35786</c:v>
                </c:pt>
                <c:pt idx="573">
                  <c:v>348</c:v>
                </c:pt>
                <c:pt idx="574">
                  <c:v>590</c:v>
                </c:pt>
                <c:pt idx="575">
                  <c:v>20206</c:v>
                </c:pt>
                <c:pt idx="576">
                  <c:v>935</c:v>
                </c:pt>
                <c:pt idx="577">
                  <c:v>35778</c:v>
                </c:pt>
                <c:pt idx="578">
                  <c:v>549</c:v>
                </c:pt>
                <c:pt idx="579">
                  <c:v>476</c:v>
                </c:pt>
                <c:pt idx="580">
                  <c:v>548</c:v>
                </c:pt>
                <c:pt idx="581">
                  <c:v>1090</c:v>
                </c:pt>
                <c:pt idx="582">
                  <c:v>1498</c:v>
                </c:pt>
                <c:pt idx="583">
                  <c:v>539</c:v>
                </c:pt>
                <c:pt idx="584">
                  <c:v>538</c:v>
                </c:pt>
                <c:pt idx="585">
                  <c:v>35774</c:v>
                </c:pt>
                <c:pt idx="586">
                  <c:v>476</c:v>
                </c:pt>
                <c:pt idx="587">
                  <c:v>523</c:v>
                </c:pt>
                <c:pt idx="588">
                  <c:v>21537</c:v>
                </c:pt>
                <c:pt idx="589">
                  <c:v>502</c:v>
                </c:pt>
                <c:pt idx="590">
                  <c:v>7827</c:v>
                </c:pt>
                <c:pt idx="591">
                  <c:v>577</c:v>
                </c:pt>
                <c:pt idx="592">
                  <c:v>496</c:v>
                </c:pt>
                <c:pt idx="593">
                  <c:v>688</c:v>
                </c:pt>
                <c:pt idx="594">
                  <c:v>590</c:v>
                </c:pt>
                <c:pt idx="595">
                  <c:v>549</c:v>
                </c:pt>
                <c:pt idx="596">
                  <c:v>538</c:v>
                </c:pt>
                <c:pt idx="597">
                  <c:v>549</c:v>
                </c:pt>
                <c:pt idx="598">
                  <c:v>539</c:v>
                </c:pt>
                <c:pt idx="599">
                  <c:v>348</c:v>
                </c:pt>
                <c:pt idx="600">
                  <c:v>635</c:v>
                </c:pt>
                <c:pt idx="601">
                  <c:v>564</c:v>
                </c:pt>
                <c:pt idx="602">
                  <c:v>35736</c:v>
                </c:pt>
                <c:pt idx="603">
                  <c:v>35788</c:v>
                </c:pt>
                <c:pt idx="604">
                  <c:v>35777</c:v>
                </c:pt>
                <c:pt idx="605">
                  <c:v>35776</c:v>
                </c:pt>
                <c:pt idx="606">
                  <c:v>539</c:v>
                </c:pt>
                <c:pt idx="607">
                  <c:v>623</c:v>
                </c:pt>
                <c:pt idx="608">
                  <c:v>35774</c:v>
                </c:pt>
                <c:pt idx="609">
                  <c:v>348</c:v>
                </c:pt>
                <c:pt idx="610">
                  <c:v>571</c:v>
                </c:pt>
                <c:pt idx="611">
                  <c:v>348</c:v>
                </c:pt>
                <c:pt idx="612">
                  <c:v>548</c:v>
                </c:pt>
                <c:pt idx="613">
                  <c:v>613</c:v>
                </c:pt>
                <c:pt idx="614">
                  <c:v>498</c:v>
                </c:pt>
                <c:pt idx="615">
                  <c:v>548</c:v>
                </c:pt>
                <c:pt idx="616">
                  <c:v>36236</c:v>
                </c:pt>
                <c:pt idx="617">
                  <c:v>570</c:v>
                </c:pt>
                <c:pt idx="618">
                  <c:v>484</c:v>
                </c:pt>
                <c:pt idx="619">
                  <c:v>35772</c:v>
                </c:pt>
                <c:pt idx="620">
                  <c:v>467</c:v>
                </c:pt>
                <c:pt idx="621">
                  <c:v>565</c:v>
                </c:pt>
                <c:pt idx="622">
                  <c:v>570</c:v>
                </c:pt>
                <c:pt idx="623">
                  <c:v>548</c:v>
                </c:pt>
                <c:pt idx="624">
                  <c:v>35778</c:v>
                </c:pt>
                <c:pt idx="625">
                  <c:v>348</c:v>
                </c:pt>
                <c:pt idx="626">
                  <c:v>481</c:v>
                </c:pt>
                <c:pt idx="627">
                  <c:v>538</c:v>
                </c:pt>
                <c:pt idx="628">
                  <c:v>512</c:v>
                </c:pt>
                <c:pt idx="629">
                  <c:v>35789</c:v>
                </c:pt>
                <c:pt idx="630">
                  <c:v>521</c:v>
                </c:pt>
                <c:pt idx="631">
                  <c:v>496</c:v>
                </c:pt>
                <c:pt idx="632">
                  <c:v>548</c:v>
                </c:pt>
                <c:pt idx="633">
                  <c:v>348</c:v>
                </c:pt>
                <c:pt idx="634">
                  <c:v>1200</c:v>
                </c:pt>
                <c:pt idx="635">
                  <c:v>1014</c:v>
                </c:pt>
                <c:pt idx="636">
                  <c:v>548</c:v>
                </c:pt>
                <c:pt idx="637">
                  <c:v>538</c:v>
                </c:pt>
                <c:pt idx="638">
                  <c:v>548</c:v>
                </c:pt>
                <c:pt idx="639">
                  <c:v>522</c:v>
                </c:pt>
                <c:pt idx="640">
                  <c:v>260</c:v>
                </c:pt>
                <c:pt idx="641">
                  <c:v>539</c:v>
                </c:pt>
                <c:pt idx="642">
                  <c:v>549</c:v>
                </c:pt>
                <c:pt idx="643">
                  <c:v>35700</c:v>
                </c:pt>
                <c:pt idx="644">
                  <c:v>535</c:v>
                </c:pt>
                <c:pt idx="645">
                  <c:v>1079</c:v>
                </c:pt>
                <c:pt idx="646">
                  <c:v>1215</c:v>
                </c:pt>
                <c:pt idx="647">
                  <c:v>358</c:v>
                </c:pt>
                <c:pt idx="648">
                  <c:v>542</c:v>
                </c:pt>
                <c:pt idx="649">
                  <c:v>522</c:v>
                </c:pt>
                <c:pt idx="651">
                  <c:v>548</c:v>
                </c:pt>
                <c:pt idx="652">
                  <c:v>403</c:v>
                </c:pt>
                <c:pt idx="653">
                  <c:v>539</c:v>
                </c:pt>
                <c:pt idx="654">
                  <c:v>606</c:v>
                </c:pt>
                <c:pt idx="655">
                  <c:v>548</c:v>
                </c:pt>
                <c:pt idx="656">
                  <c:v>569</c:v>
                </c:pt>
                <c:pt idx="657">
                  <c:v>548</c:v>
                </c:pt>
                <c:pt idx="658">
                  <c:v>977</c:v>
                </c:pt>
                <c:pt idx="659">
                  <c:v>548</c:v>
                </c:pt>
                <c:pt idx="660">
                  <c:v>548</c:v>
                </c:pt>
                <c:pt idx="661">
                  <c:v>260</c:v>
                </c:pt>
                <c:pt idx="662">
                  <c:v>538</c:v>
                </c:pt>
                <c:pt idx="663">
                  <c:v>538</c:v>
                </c:pt>
                <c:pt idx="664">
                  <c:v>548</c:v>
                </c:pt>
                <c:pt idx="665">
                  <c:v>565</c:v>
                </c:pt>
                <c:pt idx="666">
                  <c:v>538</c:v>
                </c:pt>
                <c:pt idx="667">
                  <c:v>600</c:v>
                </c:pt>
                <c:pt idx="668">
                  <c:v>20155</c:v>
                </c:pt>
                <c:pt idx="669">
                  <c:v>1007</c:v>
                </c:pt>
                <c:pt idx="670">
                  <c:v>499</c:v>
                </c:pt>
                <c:pt idx="671">
                  <c:v>348</c:v>
                </c:pt>
                <c:pt idx="672">
                  <c:v>591</c:v>
                </c:pt>
                <c:pt idx="673">
                  <c:v>564</c:v>
                </c:pt>
                <c:pt idx="674">
                  <c:v>579</c:v>
                </c:pt>
                <c:pt idx="675">
                  <c:v>497</c:v>
                </c:pt>
                <c:pt idx="676">
                  <c:v>323</c:v>
                </c:pt>
                <c:pt idx="677">
                  <c:v>35780</c:v>
                </c:pt>
                <c:pt idx="678">
                  <c:v>501</c:v>
                </c:pt>
                <c:pt idx="679">
                  <c:v>549</c:v>
                </c:pt>
                <c:pt idx="680">
                  <c:v>494</c:v>
                </c:pt>
                <c:pt idx="681">
                  <c:v>19103</c:v>
                </c:pt>
                <c:pt idx="682">
                  <c:v>538</c:v>
                </c:pt>
                <c:pt idx="683">
                  <c:v>548</c:v>
                </c:pt>
                <c:pt idx="684">
                  <c:v>549</c:v>
                </c:pt>
                <c:pt idx="685">
                  <c:v>516</c:v>
                </c:pt>
                <c:pt idx="686">
                  <c:v>539</c:v>
                </c:pt>
                <c:pt idx="687">
                  <c:v>35777</c:v>
                </c:pt>
                <c:pt idx="688">
                  <c:v>538</c:v>
                </c:pt>
                <c:pt idx="689">
                  <c:v>487</c:v>
                </c:pt>
                <c:pt idx="690">
                  <c:v>538</c:v>
                </c:pt>
                <c:pt idx="691">
                  <c:v>548</c:v>
                </c:pt>
                <c:pt idx="692">
                  <c:v>520</c:v>
                </c:pt>
                <c:pt idx="693">
                  <c:v>1357</c:v>
                </c:pt>
                <c:pt idx="694">
                  <c:v>571</c:v>
                </c:pt>
                <c:pt idx="695">
                  <c:v>1440</c:v>
                </c:pt>
                <c:pt idx="696">
                  <c:v>35782</c:v>
                </c:pt>
                <c:pt idx="697">
                  <c:v>19121</c:v>
                </c:pt>
                <c:pt idx="698">
                  <c:v>565</c:v>
                </c:pt>
                <c:pt idx="699">
                  <c:v>258</c:v>
                </c:pt>
                <c:pt idx="700">
                  <c:v>1200</c:v>
                </c:pt>
                <c:pt idx="701">
                  <c:v>8063</c:v>
                </c:pt>
                <c:pt idx="702">
                  <c:v>548</c:v>
                </c:pt>
                <c:pt idx="703">
                  <c:v>537</c:v>
                </c:pt>
                <c:pt idx="704">
                  <c:v>1215</c:v>
                </c:pt>
                <c:pt idx="705">
                  <c:v>577</c:v>
                </c:pt>
                <c:pt idx="706">
                  <c:v>21520</c:v>
                </c:pt>
                <c:pt idx="707">
                  <c:v>352</c:v>
                </c:pt>
                <c:pt idx="708">
                  <c:v>1200</c:v>
                </c:pt>
                <c:pt idx="709">
                  <c:v>1493</c:v>
                </c:pt>
                <c:pt idx="710">
                  <c:v>35781</c:v>
                </c:pt>
                <c:pt idx="711">
                  <c:v>538</c:v>
                </c:pt>
                <c:pt idx="712">
                  <c:v>590</c:v>
                </c:pt>
                <c:pt idx="713">
                  <c:v>35861</c:v>
                </c:pt>
                <c:pt idx="714">
                  <c:v>459</c:v>
                </c:pt>
                <c:pt idx="715">
                  <c:v>569</c:v>
                </c:pt>
                <c:pt idx="716">
                  <c:v>565</c:v>
                </c:pt>
                <c:pt idx="717">
                  <c:v>348</c:v>
                </c:pt>
                <c:pt idx="718">
                  <c:v>548</c:v>
                </c:pt>
                <c:pt idx="719">
                  <c:v>548</c:v>
                </c:pt>
                <c:pt idx="720">
                  <c:v>535</c:v>
                </c:pt>
                <c:pt idx="721">
                  <c:v>443</c:v>
                </c:pt>
                <c:pt idx="722">
                  <c:v>733</c:v>
                </c:pt>
                <c:pt idx="723">
                  <c:v>506</c:v>
                </c:pt>
                <c:pt idx="724">
                  <c:v>548</c:v>
                </c:pt>
                <c:pt idx="725">
                  <c:v>548</c:v>
                </c:pt>
                <c:pt idx="726">
                  <c:v>548</c:v>
                </c:pt>
                <c:pt idx="727">
                  <c:v>348</c:v>
                </c:pt>
                <c:pt idx="728">
                  <c:v>607</c:v>
                </c:pt>
                <c:pt idx="729">
                  <c:v>565</c:v>
                </c:pt>
                <c:pt idx="730">
                  <c:v>564</c:v>
                </c:pt>
                <c:pt idx="731">
                  <c:v>35779</c:v>
                </c:pt>
                <c:pt idx="732">
                  <c:v>527</c:v>
                </c:pt>
                <c:pt idx="733">
                  <c:v>360</c:v>
                </c:pt>
                <c:pt idx="734">
                  <c:v>565</c:v>
                </c:pt>
                <c:pt idx="735">
                  <c:v>497</c:v>
                </c:pt>
                <c:pt idx="736">
                  <c:v>1215</c:v>
                </c:pt>
                <c:pt idx="737">
                  <c:v>735</c:v>
                </c:pt>
                <c:pt idx="738">
                  <c:v>258</c:v>
                </c:pt>
                <c:pt idx="739">
                  <c:v>577</c:v>
                </c:pt>
                <c:pt idx="740">
                  <c:v>548</c:v>
                </c:pt>
                <c:pt idx="741">
                  <c:v>548</c:v>
                </c:pt>
                <c:pt idx="742">
                  <c:v>1215</c:v>
                </c:pt>
                <c:pt idx="743">
                  <c:v>548</c:v>
                </c:pt>
                <c:pt idx="744">
                  <c:v>580</c:v>
                </c:pt>
                <c:pt idx="745">
                  <c:v>564</c:v>
                </c:pt>
                <c:pt idx="746">
                  <c:v>539</c:v>
                </c:pt>
                <c:pt idx="747">
                  <c:v>600</c:v>
                </c:pt>
                <c:pt idx="748">
                  <c:v>443</c:v>
                </c:pt>
                <c:pt idx="749">
                  <c:v>490</c:v>
                </c:pt>
                <c:pt idx="750">
                  <c:v>1200</c:v>
                </c:pt>
                <c:pt idx="751">
                  <c:v>565</c:v>
                </c:pt>
                <c:pt idx="752">
                  <c:v>493</c:v>
                </c:pt>
                <c:pt idx="753">
                  <c:v>561</c:v>
                </c:pt>
                <c:pt idx="754">
                  <c:v>520</c:v>
                </c:pt>
                <c:pt idx="755">
                  <c:v>507</c:v>
                </c:pt>
                <c:pt idx="756">
                  <c:v>539</c:v>
                </c:pt>
                <c:pt idx="757">
                  <c:v>35930</c:v>
                </c:pt>
                <c:pt idx="758">
                  <c:v>538</c:v>
                </c:pt>
                <c:pt idx="759">
                  <c:v>548</c:v>
                </c:pt>
                <c:pt idx="760">
                  <c:v>35778</c:v>
                </c:pt>
                <c:pt idx="761">
                  <c:v>569</c:v>
                </c:pt>
                <c:pt idx="762">
                  <c:v>502</c:v>
                </c:pt>
                <c:pt idx="763">
                  <c:v>35781</c:v>
                </c:pt>
                <c:pt idx="764">
                  <c:v>348</c:v>
                </c:pt>
                <c:pt idx="765">
                  <c:v>1200</c:v>
                </c:pt>
                <c:pt idx="766">
                  <c:v>258</c:v>
                </c:pt>
                <c:pt idx="767">
                  <c:v>538</c:v>
                </c:pt>
                <c:pt idx="768">
                  <c:v>35783</c:v>
                </c:pt>
                <c:pt idx="769">
                  <c:v>493</c:v>
                </c:pt>
                <c:pt idx="770">
                  <c:v>577</c:v>
                </c:pt>
                <c:pt idx="771">
                  <c:v>549</c:v>
                </c:pt>
                <c:pt idx="772">
                  <c:v>539</c:v>
                </c:pt>
                <c:pt idx="773">
                  <c:v>495</c:v>
                </c:pt>
                <c:pt idx="774">
                  <c:v>348</c:v>
                </c:pt>
                <c:pt idx="775">
                  <c:v>348</c:v>
                </c:pt>
                <c:pt idx="776">
                  <c:v>539</c:v>
                </c:pt>
                <c:pt idx="777">
                  <c:v>539</c:v>
                </c:pt>
                <c:pt idx="778">
                  <c:v>35772</c:v>
                </c:pt>
                <c:pt idx="779">
                  <c:v>512</c:v>
                </c:pt>
                <c:pt idx="780">
                  <c:v>519</c:v>
                </c:pt>
                <c:pt idx="781">
                  <c:v>539</c:v>
                </c:pt>
                <c:pt idx="782">
                  <c:v>494</c:v>
                </c:pt>
                <c:pt idx="783">
                  <c:v>539</c:v>
                </c:pt>
                <c:pt idx="784">
                  <c:v>525</c:v>
                </c:pt>
                <c:pt idx="785">
                  <c:v>518</c:v>
                </c:pt>
                <c:pt idx="786">
                  <c:v>538</c:v>
                </c:pt>
                <c:pt idx="787">
                  <c:v>360</c:v>
                </c:pt>
                <c:pt idx="788">
                  <c:v>609</c:v>
                </c:pt>
                <c:pt idx="789">
                  <c:v>348</c:v>
                </c:pt>
                <c:pt idx="790">
                  <c:v>569</c:v>
                </c:pt>
                <c:pt idx="791">
                  <c:v>409</c:v>
                </c:pt>
                <c:pt idx="792">
                  <c:v>476</c:v>
                </c:pt>
                <c:pt idx="793">
                  <c:v>22017</c:v>
                </c:pt>
                <c:pt idx="794">
                  <c:v>538</c:v>
                </c:pt>
                <c:pt idx="795">
                  <c:v>345</c:v>
                </c:pt>
                <c:pt idx="796">
                  <c:v>527</c:v>
                </c:pt>
                <c:pt idx="797">
                  <c:v>36000</c:v>
                </c:pt>
                <c:pt idx="798">
                  <c:v>244</c:v>
                </c:pt>
                <c:pt idx="799">
                  <c:v>548</c:v>
                </c:pt>
                <c:pt idx="800">
                  <c:v>488</c:v>
                </c:pt>
                <c:pt idx="801">
                  <c:v>485</c:v>
                </c:pt>
                <c:pt idx="802">
                  <c:v>812</c:v>
                </c:pt>
                <c:pt idx="803">
                  <c:v>548</c:v>
                </c:pt>
                <c:pt idx="804">
                  <c:v>260</c:v>
                </c:pt>
                <c:pt idx="805">
                  <c:v>549</c:v>
                </c:pt>
                <c:pt idx="806">
                  <c:v>548</c:v>
                </c:pt>
                <c:pt idx="807">
                  <c:v>506</c:v>
                </c:pt>
                <c:pt idx="808">
                  <c:v>35768</c:v>
                </c:pt>
                <c:pt idx="809">
                  <c:v>258</c:v>
                </c:pt>
                <c:pt idx="810">
                  <c:v>538</c:v>
                </c:pt>
                <c:pt idx="811">
                  <c:v>548</c:v>
                </c:pt>
                <c:pt idx="812">
                  <c:v>379</c:v>
                </c:pt>
                <c:pt idx="813">
                  <c:v>533</c:v>
                </c:pt>
                <c:pt idx="814">
                  <c:v>594</c:v>
                </c:pt>
                <c:pt idx="815">
                  <c:v>443</c:v>
                </c:pt>
                <c:pt idx="816">
                  <c:v>472</c:v>
                </c:pt>
                <c:pt idx="817">
                  <c:v>538</c:v>
                </c:pt>
                <c:pt idx="818">
                  <c:v>570</c:v>
                </c:pt>
                <c:pt idx="819">
                  <c:v>549</c:v>
                </c:pt>
                <c:pt idx="820">
                  <c:v>258</c:v>
                </c:pt>
                <c:pt idx="821">
                  <c:v>1080</c:v>
                </c:pt>
                <c:pt idx="822">
                  <c:v>548</c:v>
                </c:pt>
                <c:pt idx="823">
                  <c:v>35782</c:v>
                </c:pt>
                <c:pt idx="824">
                  <c:v>553</c:v>
                </c:pt>
                <c:pt idx="825">
                  <c:v>538</c:v>
                </c:pt>
                <c:pt idx="826">
                  <c:v>468</c:v>
                </c:pt>
                <c:pt idx="827">
                  <c:v>548</c:v>
                </c:pt>
                <c:pt idx="828">
                  <c:v>534</c:v>
                </c:pt>
                <c:pt idx="829">
                  <c:v>35763</c:v>
                </c:pt>
                <c:pt idx="830">
                  <c:v>539</c:v>
                </c:pt>
                <c:pt idx="831">
                  <c:v>512</c:v>
                </c:pt>
                <c:pt idx="832">
                  <c:v>548</c:v>
                </c:pt>
                <c:pt idx="833">
                  <c:v>538</c:v>
                </c:pt>
                <c:pt idx="834">
                  <c:v>539</c:v>
                </c:pt>
                <c:pt idx="835">
                  <c:v>579</c:v>
                </c:pt>
                <c:pt idx="836">
                  <c:v>527</c:v>
                </c:pt>
                <c:pt idx="837">
                  <c:v>35703</c:v>
                </c:pt>
                <c:pt idx="838">
                  <c:v>574</c:v>
                </c:pt>
                <c:pt idx="839">
                  <c:v>1175</c:v>
                </c:pt>
                <c:pt idx="840">
                  <c:v>1200</c:v>
                </c:pt>
                <c:pt idx="841">
                  <c:v>556</c:v>
                </c:pt>
                <c:pt idx="842">
                  <c:v>548</c:v>
                </c:pt>
                <c:pt idx="843">
                  <c:v>572</c:v>
                </c:pt>
                <c:pt idx="844">
                  <c:v>19124</c:v>
                </c:pt>
                <c:pt idx="845">
                  <c:v>35784</c:v>
                </c:pt>
                <c:pt idx="846">
                  <c:v>516</c:v>
                </c:pt>
                <c:pt idx="847">
                  <c:v>548</c:v>
                </c:pt>
                <c:pt idx="848">
                  <c:v>1200</c:v>
                </c:pt>
                <c:pt idx="849">
                  <c:v>539</c:v>
                </c:pt>
                <c:pt idx="850">
                  <c:v>523</c:v>
                </c:pt>
                <c:pt idx="851">
                  <c:v>275</c:v>
                </c:pt>
                <c:pt idx="852">
                  <c:v>517</c:v>
                </c:pt>
                <c:pt idx="853">
                  <c:v>650</c:v>
                </c:pt>
                <c:pt idx="854">
                  <c:v>538</c:v>
                </c:pt>
                <c:pt idx="855">
                  <c:v>494</c:v>
                </c:pt>
                <c:pt idx="856">
                  <c:v>348</c:v>
                </c:pt>
                <c:pt idx="857">
                  <c:v>817</c:v>
                </c:pt>
                <c:pt idx="858">
                  <c:v>565</c:v>
                </c:pt>
                <c:pt idx="859">
                  <c:v>548</c:v>
                </c:pt>
                <c:pt idx="860">
                  <c:v>977</c:v>
                </c:pt>
                <c:pt idx="861">
                  <c:v>495</c:v>
                </c:pt>
                <c:pt idx="862">
                  <c:v>539</c:v>
                </c:pt>
                <c:pt idx="863">
                  <c:v>260</c:v>
                </c:pt>
                <c:pt idx="864">
                  <c:v>496</c:v>
                </c:pt>
                <c:pt idx="865">
                  <c:v>548</c:v>
                </c:pt>
                <c:pt idx="866">
                  <c:v>692</c:v>
                </c:pt>
                <c:pt idx="867">
                  <c:v>539</c:v>
                </c:pt>
                <c:pt idx="868">
                  <c:v>561</c:v>
                </c:pt>
                <c:pt idx="869">
                  <c:v>1014</c:v>
                </c:pt>
                <c:pt idx="870">
                  <c:v>35780</c:v>
                </c:pt>
                <c:pt idx="871">
                  <c:v>548</c:v>
                </c:pt>
                <c:pt idx="872">
                  <c:v>35785</c:v>
                </c:pt>
                <c:pt idx="873">
                  <c:v>348</c:v>
                </c:pt>
                <c:pt idx="874">
                  <c:v>525</c:v>
                </c:pt>
                <c:pt idx="875">
                  <c:v>588</c:v>
                </c:pt>
                <c:pt idx="876">
                  <c:v>627</c:v>
                </c:pt>
                <c:pt idx="877">
                  <c:v>529</c:v>
                </c:pt>
                <c:pt idx="878">
                  <c:v>548</c:v>
                </c:pt>
                <c:pt idx="879">
                  <c:v>1200</c:v>
                </c:pt>
                <c:pt idx="880">
                  <c:v>539</c:v>
                </c:pt>
                <c:pt idx="881">
                  <c:v>1494</c:v>
                </c:pt>
                <c:pt idx="882">
                  <c:v>548</c:v>
                </c:pt>
                <c:pt idx="883">
                  <c:v>395</c:v>
                </c:pt>
                <c:pt idx="884">
                  <c:v>538</c:v>
                </c:pt>
                <c:pt idx="885">
                  <c:v>488</c:v>
                </c:pt>
                <c:pt idx="886">
                  <c:v>503</c:v>
                </c:pt>
                <c:pt idx="887">
                  <c:v>35795</c:v>
                </c:pt>
                <c:pt idx="888">
                  <c:v>538</c:v>
                </c:pt>
                <c:pt idx="889">
                  <c:v>35500</c:v>
                </c:pt>
                <c:pt idx="890">
                  <c:v>512</c:v>
                </c:pt>
                <c:pt idx="891">
                  <c:v>1016</c:v>
                </c:pt>
                <c:pt idx="892">
                  <c:v>577</c:v>
                </c:pt>
                <c:pt idx="893">
                  <c:v>577</c:v>
                </c:pt>
                <c:pt idx="894">
                  <c:v>548</c:v>
                </c:pt>
                <c:pt idx="895">
                  <c:v>549</c:v>
                </c:pt>
                <c:pt idx="896">
                  <c:v>688</c:v>
                </c:pt>
                <c:pt idx="897">
                  <c:v>548</c:v>
                </c:pt>
                <c:pt idx="898">
                  <c:v>519</c:v>
                </c:pt>
                <c:pt idx="899">
                  <c:v>35777</c:v>
                </c:pt>
                <c:pt idx="900">
                  <c:v>562</c:v>
                </c:pt>
                <c:pt idx="901">
                  <c:v>501</c:v>
                </c:pt>
                <c:pt idx="902">
                  <c:v>548</c:v>
                </c:pt>
                <c:pt idx="903">
                  <c:v>613</c:v>
                </c:pt>
                <c:pt idx="904">
                  <c:v>548</c:v>
                </c:pt>
                <c:pt idx="905">
                  <c:v>538</c:v>
                </c:pt>
                <c:pt idx="906">
                  <c:v>564</c:v>
                </c:pt>
                <c:pt idx="907">
                  <c:v>548</c:v>
                </c:pt>
                <c:pt idx="908">
                  <c:v>1477</c:v>
                </c:pt>
                <c:pt idx="909">
                  <c:v>519</c:v>
                </c:pt>
                <c:pt idx="910">
                  <c:v>35767</c:v>
                </c:pt>
                <c:pt idx="911">
                  <c:v>35778</c:v>
                </c:pt>
                <c:pt idx="912">
                  <c:v>1200</c:v>
                </c:pt>
                <c:pt idx="913">
                  <c:v>35781</c:v>
                </c:pt>
                <c:pt idx="914">
                  <c:v>538</c:v>
                </c:pt>
                <c:pt idx="915">
                  <c:v>538</c:v>
                </c:pt>
                <c:pt idx="916">
                  <c:v>19110</c:v>
                </c:pt>
                <c:pt idx="917">
                  <c:v>517</c:v>
                </c:pt>
                <c:pt idx="918">
                  <c:v>676</c:v>
                </c:pt>
                <c:pt idx="919">
                  <c:v>35782</c:v>
                </c:pt>
                <c:pt idx="920">
                  <c:v>549</c:v>
                </c:pt>
                <c:pt idx="921">
                  <c:v>577</c:v>
                </c:pt>
                <c:pt idx="922">
                  <c:v>1200</c:v>
                </c:pt>
                <c:pt idx="923">
                  <c:v>348</c:v>
                </c:pt>
                <c:pt idx="924">
                  <c:v>757</c:v>
                </c:pt>
                <c:pt idx="925">
                  <c:v>569</c:v>
                </c:pt>
                <c:pt idx="926">
                  <c:v>467</c:v>
                </c:pt>
                <c:pt idx="927">
                  <c:v>35778</c:v>
                </c:pt>
                <c:pt idx="928">
                  <c:v>549</c:v>
                </c:pt>
                <c:pt idx="929">
                  <c:v>35772</c:v>
                </c:pt>
                <c:pt idx="930">
                  <c:v>384</c:v>
                </c:pt>
                <c:pt idx="931">
                  <c:v>538</c:v>
                </c:pt>
                <c:pt idx="932">
                  <c:v>378</c:v>
                </c:pt>
                <c:pt idx="933">
                  <c:v>660</c:v>
                </c:pt>
                <c:pt idx="934">
                  <c:v>518</c:v>
                </c:pt>
                <c:pt idx="935">
                  <c:v>1200</c:v>
                </c:pt>
                <c:pt idx="936">
                  <c:v>1200</c:v>
                </c:pt>
                <c:pt idx="937">
                  <c:v>549</c:v>
                </c:pt>
                <c:pt idx="938">
                  <c:v>515</c:v>
                </c:pt>
                <c:pt idx="939">
                  <c:v>415</c:v>
                </c:pt>
                <c:pt idx="940">
                  <c:v>323</c:v>
                </c:pt>
                <c:pt idx="941">
                  <c:v>521</c:v>
                </c:pt>
                <c:pt idx="942">
                  <c:v>516</c:v>
                </c:pt>
                <c:pt idx="943">
                  <c:v>538</c:v>
                </c:pt>
                <c:pt idx="944">
                  <c:v>549</c:v>
                </c:pt>
                <c:pt idx="945">
                  <c:v>548</c:v>
                </c:pt>
                <c:pt idx="946">
                  <c:v>509</c:v>
                </c:pt>
                <c:pt idx="947">
                  <c:v>636</c:v>
                </c:pt>
                <c:pt idx="948">
                  <c:v>548</c:v>
                </c:pt>
                <c:pt idx="949">
                  <c:v>539</c:v>
                </c:pt>
                <c:pt idx="950">
                  <c:v>348</c:v>
                </c:pt>
                <c:pt idx="951">
                  <c:v>519</c:v>
                </c:pt>
                <c:pt idx="952">
                  <c:v>549</c:v>
                </c:pt>
                <c:pt idx="953">
                  <c:v>485</c:v>
                </c:pt>
                <c:pt idx="954">
                  <c:v>538</c:v>
                </c:pt>
                <c:pt idx="955">
                  <c:v>35778</c:v>
                </c:pt>
                <c:pt idx="956">
                  <c:v>260</c:v>
                </c:pt>
                <c:pt idx="957">
                  <c:v>35768</c:v>
                </c:pt>
                <c:pt idx="958">
                  <c:v>548</c:v>
                </c:pt>
                <c:pt idx="959">
                  <c:v>526</c:v>
                </c:pt>
                <c:pt idx="960">
                  <c:v>562</c:v>
                </c:pt>
                <c:pt idx="961">
                  <c:v>719</c:v>
                </c:pt>
                <c:pt idx="962">
                  <c:v>539</c:v>
                </c:pt>
                <c:pt idx="963">
                  <c:v>548</c:v>
                </c:pt>
                <c:pt idx="964">
                  <c:v>517</c:v>
                </c:pt>
                <c:pt idx="965">
                  <c:v>494</c:v>
                </c:pt>
                <c:pt idx="966">
                  <c:v>485</c:v>
                </c:pt>
                <c:pt idx="967">
                  <c:v>35695</c:v>
                </c:pt>
                <c:pt idx="968">
                  <c:v>570</c:v>
                </c:pt>
                <c:pt idx="969">
                  <c:v>548</c:v>
                </c:pt>
                <c:pt idx="970">
                  <c:v>548</c:v>
                </c:pt>
                <c:pt idx="971">
                  <c:v>590</c:v>
                </c:pt>
                <c:pt idx="972">
                  <c:v>35789</c:v>
                </c:pt>
                <c:pt idx="973">
                  <c:v>522</c:v>
                </c:pt>
                <c:pt idx="974">
                  <c:v>549</c:v>
                </c:pt>
                <c:pt idx="975">
                  <c:v>348</c:v>
                </c:pt>
                <c:pt idx="976">
                  <c:v>625</c:v>
                </c:pt>
                <c:pt idx="977">
                  <c:v>35785</c:v>
                </c:pt>
                <c:pt idx="978">
                  <c:v>548</c:v>
                </c:pt>
                <c:pt idx="979">
                  <c:v>502</c:v>
                </c:pt>
                <c:pt idx="980">
                  <c:v>519</c:v>
                </c:pt>
                <c:pt idx="981">
                  <c:v>538</c:v>
                </c:pt>
                <c:pt idx="982">
                  <c:v>565</c:v>
                </c:pt>
                <c:pt idx="983">
                  <c:v>539</c:v>
                </c:pt>
                <c:pt idx="984">
                  <c:v>538</c:v>
                </c:pt>
                <c:pt idx="985">
                  <c:v>539</c:v>
                </c:pt>
                <c:pt idx="986">
                  <c:v>1480</c:v>
                </c:pt>
                <c:pt idx="987">
                  <c:v>538</c:v>
                </c:pt>
                <c:pt idx="988">
                  <c:v>260</c:v>
                </c:pt>
                <c:pt idx="989">
                  <c:v>35788</c:v>
                </c:pt>
                <c:pt idx="990">
                  <c:v>493</c:v>
                </c:pt>
                <c:pt idx="991">
                  <c:v>548</c:v>
                </c:pt>
                <c:pt idx="992">
                  <c:v>522</c:v>
                </c:pt>
                <c:pt idx="993">
                  <c:v>496</c:v>
                </c:pt>
                <c:pt idx="994">
                  <c:v>549</c:v>
                </c:pt>
                <c:pt idx="995">
                  <c:v>348</c:v>
                </c:pt>
                <c:pt idx="996">
                  <c:v>35783</c:v>
                </c:pt>
                <c:pt idx="997">
                  <c:v>323</c:v>
                </c:pt>
                <c:pt idx="998">
                  <c:v>1009</c:v>
                </c:pt>
                <c:pt idx="999">
                  <c:v>539</c:v>
                </c:pt>
              </c:numCache>
            </c:numRef>
          </c:xVal>
          <c:yVal>
            <c:numRef>
              <c:f>'Raw Data'!$F$2:$F$1001</c:f>
              <c:numCache>
                <c:formatCode>General</c:formatCode>
                <c:ptCount val="1000"/>
                <c:pt idx="0">
                  <c:v>567</c:v>
                </c:pt>
                <c:pt idx="1">
                  <c:v>541</c:v>
                </c:pt>
                <c:pt idx="2">
                  <c:v>533</c:v>
                </c:pt>
                <c:pt idx="3">
                  <c:v>38503</c:v>
                </c:pt>
                <c:pt idx="4">
                  <c:v>610</c:v>
                </c:pt>
                <c:pt idx="5">
                  <c:v>738</c:v>
                </c:pt>
                <c:pt idx="6">
                  <c:v>610</c:v>
                </c:pt>
                <c:pt idx="7">
                  <c:v>564</c:v>
                </c:pt>
                <c:pt idx="8">
                  <c:v>11600</c:v>
                </c:pt>
                <c:pt idx="9">
                  <c:v>575</c:v>
                </c:pt>
                <c:pt idx="10">
                  <c:v>600</c:v>
                </c:pt>
                <c:pt idx="11">
                  <c:v>583</c:v>
                </c:pt>
                <c:pt idx="12">
                  <c:v>551</c:v>
                </c:pt>
                <c:pt idx="13">
                  <c:v>541</c:v>
                </c:pt>
                <c:pt idx="14">
                  <c:v>561</c:v>
                </c:pt>
                <c:pt idx="15">
                  <c:v>35874</c:v>
                </c:pt>
                <c:pt idx="16">
                  <c:v>561</c:v>
                </c:pt>
                <c:pt idx="17">
                  <c:v>541</c:v>
                </c:pt>
                <c:pt idx="18">
                  <c:v>561</c:v>
                </c:pt>
                <c:pt idx="19">
                  <c:v>1416</c:v>
                </c:pt>
                <c:pt idx="20">
                  <c:v>35780</c:v>
                </c:pt>
                <c:pt idx="21">
                  <c:v>280</c:v>
                </c:pt>
                <c:pt idx="22">
                  <c:v>280</c:v>
                </c:pt>
                <c:pt idx="23">
                  <c:v>20234</c:v>
                </c:pt>
                <c:pt idx="24">
                  <c:v>381</c:v>
                </c:pt>
                <c:pt idx="25">
                  <c:v>541</c:v>
                </c:pt>
                <c:pt idx="26">
                  <c:v>503</c:v>
                </c:pt>
                <c:pt idx="27">
                  <c:v>351</c:v>
                </c:pt>
                <c:pt idx="28">
                  <c:v>581</c:v>
                </c:pt>
                <c:pt idx="29">
                  <c:v>602</c:v>
                </c:pt>
                <c:pt idx="30">
                  <c:v>699</c:v>
                </c:pt>
                <c:pt idx="31">
                  <c:v>20344</c:v>
                </c:pt>
                <c:pt idx="32">
                  <c:v>35791</c:v>
                </c:pt>
                <c:pt idx="33">
                  <c:v>8069</c:v>
                </c:pt>
                <c:pt idx="34">
                  <c:v>351</c:v>
                </c:pt>
                <c:pt idx="35">
                  <c:v>35799</c:v>
                </c:pt>
                <c:pt idx="36">
                  <c:v>567</c:v>
                </c:pt>
                <c:pt idx="37">
                  <c:v>561</c:v>
                </c:pt>
                <c:pt idx="38">
                  <c:v>500</c:v>
                </c:pt>
                <c:pt idx="39">
                  <c:v>35795</c:v>
                </c:pt>
                <c:pt idx="40">
                  <c:v>541</c:v>
                </c:pt>
                <c:pt idx="41">
                  <c:v>362</c:v>
                </c:pt>
                <c:pt idx="42">
                  <c:v>505</c:v>
                </c:pt>
                <c:pt idx="43">
                  <c:v>1202</c:v>
                </c:pt>
                <c:pt idx="44">
                  <c:v>567</c:v>
                </c:pt>
                <c:pt idx="45">
                  <c:v>353</c:v>
                </c:pt>
                <c:pt idx="46">
                  <c:v>352</c:v>
                </c:pt>
                <c:pt idx="47">
                  <c:v>567</c:v>
                </c:pt>
                <c:pt idx="48">
                  <c:v>1179</c:v>
                </c:pt>
                <c:pt idx="49">
                  <c:v>622</c:v>
                </c:pt>
                <c:pt idx="50">
                  <c:v>561</c:v>
                </c:pt>
                <c:pt idx="51">
                  <c:v>280</c:v>
                </c:pt>
                <c:pt idx="52">
                  <c:v>35795</c:v>
                </c:pt>
                <c:pt idx="53">
                  <c:v>511</c:v>
                </c:pt>
                <c:pt idx="54">
                  <c:v>351</c:v>
                </c:pt>
                <c:pt idx="55">
                  <c:v>541</c:v>
                </c:pt>
                <c:pt idx="56">
                  <c:v>280</c:v>
                </c:pt>
                <c:pt idx="57">
                  <c:v>561</c:v>
                </c:pt>
                <c:pt idx="58">
                  <c:v>35793</c:v>
                </c:pt>
                <c:pt idx="59">
                  <c:v>541</c:v>
                </c:pt>
                <c:pt idx="60">
                  <c:v>1509</c:v>
                </c:pt>
                <c:pt idx="61">
                  <c:v>535</c:v>
                </c:pt>
                <c:pt idx="62">
                  <c:v>567</c:v>
                </c:pt>
                <c:pt idx="63">
                  <c:v>541</c:v>
                </c:pt>
                <c:pt idx="64">
                  <c:v>577</c:v>
                </c:pt>
                <c:pt idx="65">
                  <c:v>280</c:v>
                </c:pt>
                <c:pt idx="66">
                  <c:v>551</c:v>
                </c:pt>
                <c:pt idx="67">
                  <c:v>541</c:v>
                </c:pt>
                <c:pt idx="68">
                  <c:v>1187</c:v>
                </c:pt>
                <c:pt idx="69">
                  <c:v>537</c:v>
                </c:pt>
                <c:pt idx="70">
                  <c:v>537</c:v>
                </c:pt>
                <c:pt idx="71">
                  <c:v>280</c:v>
                </c:pt>
                <c:pt idx="72">
                  <c:v>541</c:v>
                </c:pt>
                <c:pt idx="73">
                  <c:v>551</c:v>
                </c:pt>
                <c:pt idx="74">
                  <c:v>537</c:v>
                </c:pt>
                <c:pt idx="75">
                  <c:v>35795</c:v>
                </c:pt>
                <c:pt idx="76">
                  <c:v>551</c:v>
                </c:pt>
                <c:pt idx="77">
                  <c:v>600</c:v>
                </c:pt>
                <c:pt idx="78">
                  <c:v>654</c:v>
                </c:pt>
                <c:pt idx="79">
                  <c:v>567</c:v>
                </c:pt>
                <c:pt idx="80">
                  <c:v>35795</c:v>
                </c:pt>
                <c:pt idx="81">
                  <c:v>506</c:v>
                </c:pt>
                <c:pt idx="82">
                  <c:v>561</c:v>
                </c:pt>
                <c:pt idx="83">
                  <c:v>670</c:v>
                </c:pt>
                <c:pt idx="84">
                  <c:v>567</c:v>
                </c:pt>
                <c:pt idx="85">
                  <c:v>351</c:v>
                </c:pt>
                <c:pt idx="86">
                  <c:v>351</c:v>
                </c:pt>
                <c:pt idx="87">
                  <c:v>508</c:v>
                </c:pt>
                <c:pt idx="88">
                  <c:v>541</c:v>
                </c:pt>
                <c:pt idx="89">
                  <c:v>551</c:v>
                </c:pt>
                <c:pt idx="90">
                  <c:v>541</c:v>
                </c:pt>
                <c:pt idx="91">
                  <c:v>542</c:v>
                </c:pt>
                <c:pt idx="92">
                  <c:v>1202</c:v>
                </c:pt>
                <c:pt idx="93">
                  <c:v>35793</c:v>
                </c:pt>
                <c:pt idx="94">
                  <c:v>581</c:v>
                </c:pt>
                <c:pt idx="95">
                  <c:v>35800</c:v>
                </c:pt>
                <c:pt idx="96">
                  <c:v>541</c:v>
                </c:pt>
                <c:pt idx="97">
                  <c:v>571</c:v>
                </c:pt>
                <c:pt idx="98">
                  <c:v>8069</c:v>
                </c:pt>
                <c:pt idx="99">
                  <c:v>541</c:v>
                </c:pt>
                <c:pt idx="100">
                  <c:v>35816</c:v>
                </c:pt>
                <c:pt idx="101">
                  <c:v>35796</c:v>
                </c:pt>
                <c:pt idx="102">
                  <c:v>1188</c:v>
                </c:pt>
                <c:pt idx="103">
                  <c:v>541</c:v>
                </c:pt>
                <c:pt idx="104">
                  <c:v>541</c:v>
                </c:pt>
                <c:pt idx="105">
                  <c:v>582</c:v>
                </c:pt>
                <c:pt idx="106">
                  <c:v>280</c:v>
                </c:pt>
                <c:pt idx="107">
                  <c:v>501</c:v>
                </c:pt>
                <c:pt idx="108">
                  <c:v>535</c:v>
                </c:pt>
                <c:pt idx="109">
                  <c:v>506</c:v>
                </c:pt>
                <c:pt idx="110">
                  <c:v>351</c:v>
                </c:pt>
                <c:pt idx="111">
                  <c:v>561</c:v>
                </c:pt>
                <c:pt idx="112">
                  <c:v>551</c:v>
                </c:pt>
                <c:pt idx="113">
                  <c:v>551</c:v>
                </c:pt>
                <c:pt idx="114">
                  <c:v>35802</c:v>
                </c:pt>
                <c:pt idx="115">
                  <c:v>916</c:v>
                </c:pt>
                <c:pt idx="116">
                  <c:v>87304</c:v>
                </c:pt>
                <c:pt idx="117">
                  <c:v>537</c:v>
                </c:pt>
                <c:pt idx="118">
                  <c:v>600</c:v>
                </c:pt>
                <c:pt idx="119">
                  <c:v>551</c:v>
                </c:pt>
                <c:pt idx="120">
                  <c:v>541</c:v>
                </c:pt>
                <c:pt idx="121">
                  <c:v>523</c:v>
                </c:pt>
                <c:pt idx="122">
                  <c:v>583</c:v>
                </c:pt>
                <c:pt idx="123">
                  <c:v>35791</c:v>
                </c:pt>
                <c:pt idx="124">
                  <c:v>541</c:v>
                </c:pt>
                <c:pt idx="125">
                  <c:v>536</c:v>
                </c:pt>
                <c:pt idx="126">
                  <c:v>561</c:v>
                </c:pt>
                <c:pt idx="127">
                  <c:v>8069</c:v>
                </c:pt>
                <c:pt idx="128">
                  <c:v>351</c:v>
                </c:pt>
                <c:pt idx="129">
                  <c:v>626</c:v>
                </c:pt>
                <c:pt idx="130">
                  <c:v>280</c:v>
                </c:pt>
                <c:pt idx="131">
                  <c:v>564</c:v>
                </c:pt>
                <c:pt idx="132">
                  <c:v>541</c:v>
                </c:pt>
                <c:pt idx="133">
                  <c:v>551</c:v>
                </c:pt>
                <c:pt idx="134">
                  <c:v>708</c:v>
                </c:pt>
                <c:pt idx="135">
                  <c:v>23306</c:v>
                </c:pt>
                <c:pt idx="136">
                  <c:v>561</c:v>
                </c:pt>
                <c:pt idx="137">
                  <c:v>541</c:v>
                </c:pt>
                <c:pt idx="138">
                  <c:v>535</c:v>
                </c:pt>
                <c:pt idx="139">
                  <c:v>543</c:v>
                </c:pt>
                <c:pt idx="140">
                  <c:v>567</c:v>
                </c:pt>
                <c:pt idx="141">
                  <c:v>23227</c:v>
                </c:pt>
                <c:pt idx="142">
                  <c:v>561</c:v>
                </c:pt>
                <c:pt idx="143">
                  <c:v>35789</c:v>
                </c:pt>
                <c:pt idx="144">
                  <c:v>541</c:v>
                </c:pt>
                <c:pt idx="145">
                  <c:v>541</c:v>
                </c:pt>
                <c:pt idx="146">
                  <c:v>560</c:v>
                </c:pt>
                <c:pt idx="147">
                  <c:v>583</c:v>
                </c:pt>
                <c:pt idx="148">
                  <c:v>561</c:v>
                </c:pt>
                <c:pt idx="149">
                  <c:v>535</c:v>
                </c:pt>
                <c:pt idx="150">
                  <c:v>351</c:v>
                </c:pt>
                <c:pt idx="151">
                  <c:v>571</c:v>
                </c:pt>
                <c:pt idx="152">
                  <c:v>502</c:v>
                </c:pt>
                <c:pt idx="153">
                  <c:v>439</c:v>
                </c:pt>
                <c:pt idx="154">
                  <c:v>138825</c:v>
                </c:pt>
                <c:pt idx="155">
                  <c:v>541</c:v>
                </c:pt>
                <c:pt idx="156">
                  <c:v>551</c:v>
                </c:pt>
                <c:pt idx="157">
                  <c:v>351</c:v>
                </c:pt>
                <c:pt idx="158">
                  <c:v>541</c:v>
                </c:pt>
                <c:pt idx="159">
                  <c:v>564</c:v>
                </c:pt>
                <c:pt idx="160">
                  <c:v>551</c:v>
                </c:pt>
                <c:pt idx="161">
                  <c:v>351</c:v>
                </c:pt>
                <c:pt idx="162">
                  <c:v>551</c:v>
                </c:pt>
                <c:pt idx="163">
                  <c:v>35805</c:v>
                </c:pt>
                <c:pt idx="164">
                  <c:v>551</c:v>
                </c:pt>
                <c:pt idx="165">
                  <c:v>581</c:v>
                </c:pt>
                <c:pt idx="166">
                  <c:v>567</c:v>
                </c:pt>
                <c:pt idx="167">
                  <c:v>351</c:v>
                </c:pt>
                <c:pt idx="168">
                  <c:v>541</c:v>
                </c:pt>
                <c:pt idx="169">
                  <c:v>577</c:v>
                </c:pt>
                <c:pt idx="170">
                  <c:v>561</c:v>
                </c:pt>
                <c:pt idx="171">
                  <c:v>551</c:v>
                </c:pt>
                <c:pt idx="172">
                  <c:v>551</c:v>
                </c:pt>
                <c:pt idx="173">
                  <c:v>567</c:v>
                </c:pt>
                <c:pt idx="174">
                  <c:v>536</c:v>
                </c:pt>
                <c:pt idx="175">
                  <c:v>560</c:v>
                </c:pt>
                <c:pt idx="176">
                  <c:v>567</c:v>
                </c:pt>
                <c:pt idx="177">
                  <c:v>541</c:v>
                </c:pt>
                <c:pt idx="178">
                  <c:v>571</c:v>
                </c:pt>
                <c:pt idx="179">
                  <c:v>567</c:v>
                </c:pt>
                <c:pt idx="180">
                  <c:v>536</c:v>
                </c:pt>
                <c:pt idx="181">
                  <c:v>561</c:v>
                </c:pt>
                <c:pt idx="182">
                  <c:v>1202</c:v>
                </c:pt>
                <c:pt idx="183">
                  <c:v>551</c:v>
                </c:pt>
                <c:pt idx="184">
                  <c:v>802</c:v>
                </c:pt>
                <c:pt idx="185">
                  <c:v>351</c:v>
                </c:pt>
                <c:pt idx="186">
                  <c:v>533</c:v>
                </c:pt>
                <c:pt idx="187">
                  <c:v>35797</c:v>
                </c:pt>
                <c:pt idx="188">
                  <c:v>541</c:v>
                </c:pt>
                <c:pt idx="189">
                  <c:v>541</c:v>
                </c:pt>
                <c:pt idx="190">
                  <c:v>506</c:v>
                </c:pt>
                <c:pt idx="191">
                  <c:v>601</c:v>
                </c:pt>
                <c:pt idx="192">
                  <c:v>672</c:v>
                </c:pt>
                <c:pt idx="193">
                  <c:v>541</c:v>
                </c:pt>
                <c:pt idx="194">
                  <c:v>1220</c:v>
                </c:pt>
                <c:pt idx="195">
                  <c:v>35874</c:v>
                </c:pt>
                <c:pt idx="196">
                  <c:v>670</c:v>
                </c:pt>
                <c:pt idx="197">
                  <c:v>496</c:v>
                </c:pt>
                <c:pt idx="198">
                  <c:v>612</c:v>
                </c:pt>
                <c:pt idx="199">
                  <c:v>541</c:v>
                </c:pt>
                <c:pt idx="200">
                  <c:v>551</c:v>
                </c:pt>
                <c:pt idx="201">
                  <c:v>561</c:v>
                </c:pt>
                <c:pt idx="202">
                  <c:v>541</c:v>
                </c:pt>
                <c:pt idx="203">
                  <c:v>556</c:v>
                </c:pt>
                <c:pt idx="204">
                  <c:v>35851</c:v>
                </c:pt>
                <c:pt idx="205">
                  <c:v>541</c:v>
                </c:pt>
                <c:pt idx="206">
                  <c:v>518</c:v>
                </c:pt>
                <c:pt idx="207">
                  <c:v>967</c:v>
                </c:pt>
                <c:pt idx="208">
                  <c:v>551</c:v>
                </c:pt>
                <c:pt idx="209">
                  <c:v>538</c:v>
                </c:pt>
                <c:pt idx="210">
                  <c:v>35788</c:v>
                </c:pt>
                <c:pt idx="211">
                  <c:v>541</c:v>
                </c:pt>
                <c:pt idx="212">
                  <c:v>541</c:v>
                </c:pt>
                <c:pt idx="213">
                  <c:v>604</c:v>
                </c:pt>
                <c:pt idx="214">
                  <c:v>600</c:v>
                </c:pt>
                <c:pt idx="215">
                  <c:v>533</c:v>
                </c:pt>
                <c:pt idx="216">
                  <c:v>564</c:v>
                </c:pt>
                <c:pt idx="217">
                  <c:v>738</c:v>
                </c:pt>
                <c:pt idx="218">
                  <c:v>1220</c:v>
                </c:pt>
                <c:pt idx="219">
                  <c:v>23305</c:v>
                </c:pt>
                <c:pt idx="220">
                  <c:v>35787</c:v>
                </c:pt>
                <c:pt idx="221">
                  <c:v>551</c:v>
                </c:pt>
                <c:pt idx="222">
                  <c:v>500</c:v>
                </c:pt>
                <c:pt idx="223">
                  <c:v>683</c:v>
                </c:pt>
                <c:pt idx="224">
                  <c:v>351</c:v>
                </c:pt>
                <c:pt idx="225">
                  <c:v>506</c:v>
                </c:pt>
                <c:pt idx="226">
                  <c:v>22982</c:v>
                </c:pt>
                <c:pt idx="227">
                  <c:v>551</c:v>
                </c:pt>
                <c:pt idx="228">
                  <c:v>35795</c:v>
                </c:pt>
                <c:pt idx="229">
                  <c:v>590</c:v>
                </c:pt>
                <c:pt idx="230">
                  <c:v>351</c:v>
                </c:pt>
                <c:pt idx="231">
                  <c:v>1220</c:v>
                </c:pt>
                <c:pt idx="232">
                  <c:v>511</c:v>
                </c:pt>
                <c:pt idx="233">
                  <c:v>351</c:v>
                </c:pt>
                <c:pt idx="234">
                  <c:v>541</c:v>
                </c:pt>
                <c:pt idx="235">
                  <c:v>280</c:v>
                </c:pt>
                <c:pt idx="236">
                  <c:v>551</c:v>
                </c:pt>
                <c:pt idx="237">
                  <c:v>567</c:v>
                </c:pt>
                <c:pt idx="238">
                  <c:v>583</c:v>
                </c:pt>
                <c:pt idx="239">
                  <c:v>567</c:v>
                </c:pt>
                <c:pt idx="240">
                  <c:v>551</c:v>
                </c:pt>
                <c:pt idx="241">
                  <c:v>406</c:v>
                </c:pt>
                <c:pt idx="242">
                  <c:v>350</c:v>
                </c:pt>
                <c:pt idx="243">
                  <c:v>534</c:v>
                </c:pt>
                <c:pt idx="244">
                  <c:v>381</c:v>
                </c:pt>
                <c:pt idx="245">
                  <c:v>1220</c:v>
                </c:pt>
                <c:pt idx="246">
                  <c:v>583</c:v>
                </c:pt>
                <c:pt idx="247">
                  <c:v>351</c:v>
                </c:pt>
                <c:pt idx="248">
                  <c:v>982</c:v>
                </c:pt>
                <c:pt idx="249">
                  <c:v>581</c:v>
                </c:pt>
                <c:pt idx="250">
                  <c:v>561</c:v>
                </c:pt>
                <c:pt idx="251">
                  <c:v>494</c:v>
                </c:pt>
                <c:pt idx="252">
                  <c:v>561</c:v>
                </c:pt>
                <c:pt idx="253">
                  <c:v>509</c:v>
                </c:pt>
                <c:pt idx="254">
                  <c:v>581</c:v>
                </c:pt>
                <c:pt idx="255">
                  <c:v>551</c:v>
                </c:pt>
                <c:pt idx="256">
                  <c:v>362</c:v>
                </c:pt>
                <c:pt idx="257">
                  <c:v>567</c:v>
                </c:pt>
                <c:pt idx="258">
                  <c:v>541</c:v>
                </c:pt>
                <c:pt idx="259">
                  <c:v>561</c:v>
                </c:pt>
                <c:pt idx="260">
                  <c:v>541</c:v>
                </c:pt>
                <c:pt idx="261">
                  <c:v>564</c:v>
                </c:pt>
                <c:pt idx="262">
                  <c:v>505</c:v>
                </c:pt>
                <c:pt idx="263">
                  <c:v>541</c:v>
                </c:pt>
                <c:pt idx="264">
                  <c:v>35780</c:v>
                </c:pt>
                <c:pt idx="265">
                  <c:v>528</c:v>
                </c:pt>
                <c:pt idx="266">
                  <c:v>381</c:v>
                </c:pt>
                <c:pt idx="267">
                  <c:v>541</c:v>
                </c:pt>
                <c:pt idx="268">
                  <c:v>8069</c:v>
                </c:pt>
                <c:pt idx="269">
                  <c:v>561</c:v>
                </c:pt>
                <c:pt idx="270">
                  <c:v>982</c:v>
                </c:pt>
                <c:pt idx="271">
                  <c:v>561</c:v>
                </c:pt>
                <c:pt idx="272">
                  <c:v>541</c:v>
                </c:pt>
                <c:pt idx="273">
                  <c:v>600</c:v>
                </c:pt>
                <c:pt idx="274">
                  <c:v>567</c:v>
                </c:pt>
                <c:pt idx="275">
                  <c:v>505</c:v>
                </c:pt>
                <c:pt idx="276">
                  <c:v>409</c:v>
                </c:pt>
                <c:pt idx="277">
                  <c:v>909</c:v>
                </c:pt>
                <c:pt idx="278">
                  <c:v>738</c:v>
                </c:pt>
                <c:pt idx="279">
                  <c:v>35799</c:v>
                </c:pt>
                <c:pt idx="280">
                  <c:v>35791</c:v>
                </c:pt>
                <c:pt idx="281">
                  <c:v>351</c:v>
                </c:pt>
                <c:pt idx="282">
                  <c:v>679</c:v>
                </c:pt>
                <c:pt idx="283">
                  <c:v>567</c:v>
                </c:pt>
                <c:pt idx="284">
                  <c:v>363</c:v>
                </c:pt>
                <c:pt idx="285">
                  <c:v>614</c:v>
                </c:pt>
                <c:pt idx="286">
                  <c:v>550</c:v>
                </c:pt>
                <c:pt idx="287">
                  <c:v>280</c:v>
                </c:pt>
                <c:pt idx="288">
                  <c:v>533</c:v>
                </c:pt>
                <c:pt idx="289">
                  <c:v>567</c:v>
                </c:pt>
                <c:pt idx="290">
                  <c:v>561</c:v>
                </c:pt>
                <c:pt idx="291">
                  <c:v>280</c:v>
                </c:pt>
                <c:pt idx="292">
                  <c:v>564</c:v>
                </c:pt>
                <c:pt idx="293">
                  <c:v>561</c:v>
                </c:pt>
                <c:pt idx="294">
                  <c:v>280</c:v>
                </c:pt>
                <c:pt idx="295">
                  <c:v>541</c:v>
                </c:pt>
                <c:pt idx="296">
                  <c:v>551</c:v>
                </c:pt>
                <c:pt idx="297">
                  <c:v>626</c:v>
                </c:pt>
                <c:pt idx="298">
                  <c:v>36781</c:v>
                </c:pt>
                <c:pt idx="299">
                  <c:v>541</c:v>
                </c:pt>
                <c:pt idx="300">
                  <c:v>603</c:v>
                </c:pt>
                <c:pt idx="301">
                  <c:v>581</c:v>
                </c:pt>
                <c:pt idx="302">
                  <c:v>535</c:v>
                </c:pt>
                <c:pt idx="303">
                  <c:v>507</c:v>
                </c:pt>
                <c:pt idx="304">
                  <c:v>351</c:v>
                </c:pt>
                <c:pt idx="305">
                  <c:v>352</c:v>
                </c:pt>
                <c:pt idx="306">
                  <c:v>541</c:v>
                </c:pt>
                <c:pt idx="307">
                  <c:v>581</c:v>
                </c:pt>
                <c:pt idx="308">
                  <c:v>1089</c:v>
                </c:pt>
                <c:pt idx="309">
                  <c:v>1506</c:v>
                </c:pt>
                <c:pt idx="310">
                  <c:v>567</c:v>
                </c:pt>
                <c:pt idx="311">
                  <c:v>560</c:v>
                </c:pt>
                <c:pt idx="312">
                  <c:v>535</c:v>
                </c:pt>
                <c:pt idx="313">
                  <c:v>548</c:v>
                </c:pt>
                <c:pt idx="314">
                  <c:v>571</c:v>
                </c:pt>
                <c:pt idx="315">
                  <c:v>363</c:v>
                </c:pt>
                <c:pt idx="316">
                  <c:v>673</c:v>
                </c:pt>
                <c:pt idx="317">
                  <c:v>625</c:v>
                </c:pt>
                <c:pt idx="318">
                  <c:v>1179</c:v>
                </c:pt>
                <c:pt idx="319">
                  <c:v>859</c:v>
                </c:pt>
                <c:pt idx="320">
                  <c:v>623</c:v>
                </c:pt>
                <c:pt idx="321">
                  <c:v>600</c:v>
                </c:pt>
                <c:pt idx="322">
                  <c:v>515</c:v>
                </c:pt>
                <c:pt idx="323">
                  <c:v>541</c:v>
                </c:pt>
                <c:pt idx="324">
                  <c:v>35803</c:v>
                </c:pt>
                <c:pt idx="325">
                  <c:v>546</c:v>
                </c:pt>
                <c:pt idx="326">
                  <c:v>746</c:v>
                </c:pt>
                <c:pt idx="327">
                  <c:v>567</c:v>
                </c:pt>
                <c:pt idx="328">
                  <c:v>561</c:v>
                </c:pt>
                <c:pt idx="329">
                  <c:v>541</c:v>
                </c:pt>
                <c:pt idx="330">
                  <c:v>541</c:v>
                </c:pt>
                <c:pt idx="331">
                  <c:v>541</c:v>
                </c:pt>
                <c:pt idx="332">
                  <c:v>654</c:v>
                </c:pt>
                <c:pt idx="333">
                  <c:v>150</c:v>
                </c:pt>
                <c:pt idx="334">
                  <c:v>510</c:v>
                </c:pt>
                <c:pt idx="335">
                  <c:v>567</c:v>
                </c:pt>
                <c:pt idx="336">
                  <c:v>551</c:v>
                </c:pt>
                <c:pt idx="337">
                  <c:v>561</c:v>
                </c:pt>
                <c:pt idx="338">
                  <c:v>541</c:v>
                </c:pt>
                <c:pt idx="339">
                  <c:v>567</c:v>
                </c:pt>
                <c:pt idx="340">
                  <c:v>589</c:v>
                </c:pt>
                <c:pt idx="341">
                  <c:v>446</c:v>
                </c:pt>
                <c:pt idx="342">
                  <c:v>610</c:v>
                </c:pt>
                <c:pt idx="343">
                  <c:v>613</c:v>
                </c:pt>
                <c:pt idx="344">
                  <c:v>624</c:v>
                </c:pt>
                <c:pt idx="345">
                  <c:v>1179</c:v>
                </c:pt>
                <c:pt idx="346">
                  <c:v>621</c:v>
                </c:pt>
                <c:pt idx="347">
                  <c:v>581</c:v>
                </c:pt>
                <c:pt idx="348">
                  <c:v>535</c:v>
                </c:pt>
                <c:pt idx="349">
                  <c:v>35812</c:v>
                </c:pt>
                <c:pt idx="350">
                  <c:v>37872</c:v>
                </c:pt>
                <c:pt idx="351">
                  <c:v>21541</c:v>
                </c:pt>
                <c:pt idx="352">
                  <c:v>564</c:v>
                </c:pt>
                <c:pt idx="353">
                  <c:v>580</c:v>
                </c:pt>
                <c:pt idx="354">
                  <c:v>564</c:v>
                </c:pt>
                <c:pt idx="355">
                  <c:v>982</c:v>
                </c:pt>
                <c:pt idx="356">
                  <c:v>536</c:v>
                </c:pt>
                <c:pt idx="357">
                  <c:v>280</c:v>
                </c:pt>
                <c:pt idx="358">
                  <c:v>564</c:v>
                </c:pt>
                <c:pt idx="359">
                  <c:v>351</c:v>
                </c:pt>
                <c:pt idx="360">
                  <c:v>674</c:v>
                </c:pt>
                <c:pt idx="361">
                  <c:v>561</c:v>
                </c:pt>
                <c:pt idx="362">
                  <c:v>581</c:v>
                </c:pt>
                <c:pt idx="363">
                  <c:v>502</c:v>
                </c:pt>
                <c:pt idx="364">
                  <c:v>19133</c:v>
                </c:pt>
                <c:pt idx="365">
                  <c:v>383</c:v>
                </c:pt>
                <c:pt idx="366">
                  <c:v>551</c:v>
                </c:pt>
                <c:pt idx="367">
                  <c:v>550</c:v>
                </c:pt>
                <c:pt idx="368">
                  <c:v>625</c:v>
                </c:pt>
                <c:pt idx="369">
                  <c:v>536</c:v>
                </c:pt>
                <c:pt idx="370">
                  <c:v>704</c:v>
                </c:pt>
                <c:pt idx="371">
                  <c:v>567</c:v>
                </c:pt>
                <c:pt idx="372">
                  <c:v>362</c:v>
                </c:pt>
                <c:pt idx="373">
                  <c:v>541</c:v>
                </c:pt>
                <c:pt idx="374">
                  <c:v>362</c:v>
                </c:pt>
                <c:pt idx="375">
                  <c:v>561</c:v>
                </c:pt>
                <c:pt idx="376">
                  <c:v>543</c:v>
                </c:pt>
                <c:pt idx="377">
                  <c:v>407</c:v>
                </c:pt>
                <c:pt idx="378">
                  <c:v>483</c:v>
                </c:pt>
                <c:pt idx="379">
                  <c:v>567</c:v>
                </c:pt>
                <c:pt idx="380">
                  <c:v>1220</c:v>
                </c:pt>
                <c:pt idx="381">
                  <c:v>1220</c:v>
                </c:pt>
                <c:pt idx="382">
                  <c:v>280</c:v>
                </c:pt>
                <c:pt idx="383">
                  <c:v>551</c:v>
                </c:pt>
                <c:pt idx="384">
                  <c:v>550</c:v>
                </c:pt>
                <c:pt idx="385">
                  <c:v>440</c:v>
                </c:pt>
                <c:pt idx="386">
                  <c:v>35844</c:v>
                </c:pt>
                <c:pt idx="387">
                  <c:v>535</c:v>
                </c:pt>
                <c:pt idx="388">
                  <c:v>564</c:v>
                </c:pt>
                <c:pt idx="389">
                  <c:v>521</c:v>
                </c:pt>
                <c:pt idx="390">
                  <c:v>561</c:v>
                </c:pt>
                <c:pt idx="391">
                  <c:v>445</c:v>
                </c:pt>
                <c:pt idx="392">
                  <c:v>551</c:v>
                </c:pt>
                <c:pt idx="393">
                  <c:v>351</c:v>
                </c:pt>
                <c:pt idx="394">
                  <c:v>536</c:v>
                </c:pt>
                <c:pt idx="395">
                  <c:v>588</c:v>
                </c:pt>
                <c:pt idx="396">
                  <c:v>567</c:v>
                </c:pt>
                <c:pt idx="397">
                  <c:v>561</c:v>
                </c:pt>
                <c:pt idx="398">
                  <c:v>35787</c:v>
                </c:pt>
                <c:pt idx="399">
                  <c:v>351</c:v>
                </c:pt>
                <c:pt idx="400">
                  <c:v>828</c:v>
                </c:pt>
                <c:pt idx="401">
                  <c:v>582</c:v>
                </c:pt>
                <c:pt idx="402">
                  <c:v>351</c:v>
                </c:pt>
                <c:pt idx="403">
                  <c:v>547</c:v>
                </c:pt>
                <c:pt idx="404">
                  <c:v>541</c:v>
                </c:pt>
                <c:pt idx="405">
                  <c:v>581</c:v>
                </c:pt>
                <c:pt idx="406">
                  <c:v>561</c:v>
                </c:pt>
                <c:pt idx="407">
                  <c:v>561</c:v>
                </c:pt>
                <c:pt idx="408">
                  <c:v>703</c:v>
                </c:pt>
                <c:pt idx="409">
                  <c:v>561</c:v>
                </c:pt>
                <c:pt idx="410">
                  <c:v>35797</c:v>
                </c:pt>
                <c:pt idx="411">
                  <c:v>598</c:v>
                </c:pt>
                <c:pt idx="412">
                  <c:v>551</c:v>
                </c:pt>
                <c:pt idx="413">
                  <c:v>35794</c:v>
                </c:pt>
                <c:pt idx="414">
                  <c:v>561</c:v>
                </c:pt>
                <c:pt idx="415">
                  <c:v>1220</c:v>
                </c:pt>
                <c:pt idx="416">
                  <c:v>575</c:v>
                </c:pt>
                <c:pt idx="417">
                  <c:v>560</c:v>
                </c:pt>
                <c:pt idx="418">
                  <c:v>351</c:v>
                </c:pt>
                <c:pt idx="419">
                  <c:v>561</c:v>
                </c:pt>
                <c:pt idx="420">
                  <c:v>551</c:v>
                </c:pt>
                <c:pt idx="421">
                  <c:v>551</c:v>
                </c:pt>
                <c:pt idx="422">
                  <c:v>590</c:v>
                </c:pt>
                <c:pt idx="423">
                  <c:v>551</c:v>
                </c:pt>
                <c:pt idx="424">
                  <c:v>483</c:v>
                </c:pt>
                <c:pt idx="425">
                  <c:v>31342</c:v>
                </c:pt>
                <c:pt idx="426">
                  <c:v>510</c:v>
                </c:pt>
                <c:pt idx="427">
                  <c:v>561</c:v>
                </c:pt>
                <c:pt idx="428">
                  <c:v>363</c:v>
                </c:pt>
                <c:pt idx="429">
                  <c:v>605</c:v>
                </c:pt>
                <c:pt idx="430">
                  <c:v>541</c:v>
                </c:pt>
                <c:pt idx="431">
                  <c:v>583</c:v>
                </c:pt>
                <c:pt idx="432">
                  <c:v>35903</c:v>
                </c:pt>
                <c:pt idx="433">
                  <c:v>551</c:v>
                </c:pt>
                <c:pt idx="434">
                  <c:v>610</c:v>
                </c:pt>
                <c:pt idx="435">
                  <c:v>35811</c:v>
                </c:pt>
                <c:pt idx="436">
                  <c:v>11836</c:v>
                </c:pt>
                <c:pt idx="437">
                  <c:v>541</c:v>
                </c:pt>
                <c:pt idx="438">
                  <c:v>280</c:v>
                </c:pt>
                <c:pt idx="439">
                  <c:v>351</c:v>
                </c:pt>
                <c:pt idx="440">
                  <c:v>549</c:v>
                </c:pt>
                <c:pt idx="441">
                  <c:v>524</c:v>
                </c:pt>
                <c:pt idx="442">
                  <c:v>546</c:v>
                </c:pt>
                <c:pt idx="443">
                  <c:v>541</c:v>
                </c:pt>
                <c:pt idx="444">
                  <c:v>541</c:v>
                </c:pt>
                <c:pt idx="445">
                  <c:v>500</c:v>
                </c:pt>
                <c:pt idx="446">
                  <c:v>268488</c:v>
                </c:pt>
                <c:pt idx="447">
                  <c:v>561</c:v>
                </c:pt>
                <c:pt idx="448">
                  <c:v>541</c:v>
                </c:pt>
                <c:pt idx="449">
                  <c:v>541</c:v>
                </c:pt>
                <c:pt idx="450">
                  <c:v>500</c:v>
                </c:pt>
                <c:pt idx="451">
                  <c:v>541</c:v>
                </c:pt>
                <c:pt idx="452">
                  <c:v>600</c:v>
                </c:pt>
                <c:pt idx="453">
                  <c:v>1202</c:v>
                </c:pt>
                <c:pt idx="454">
                  <c:v>575</c:v>
                </c:pt>
                <c:pt idx="455">
                  <c:v>500</c:v>
                </c:pt>
                <c:pt idx="456">
                  <c:v>561</c:v>
                </c:pt>
                <c:pt idx="457">
                  <c:v>342</c:v>
                </c:pt>
                <c:pt idx="458">
                  <c:v>1220</c:v>
                </c:pt>
                <c:pt idx="459">
                  <c:v>517</c:v>
                </c:pt>
                <c:pt idx="460">
                  <c:v>541</c:v>
                </c:pt>
                <c:pt idx="461">
                  <c:v>35795</c:v>
                </c:pt>
                <c:pt idx="462">
                  <c:v>561</c:v>
                </c:pt>
                <c:pt idx="463">
                  <c:v>1202</c:v>
                </c:pt>
                <c:pt idx="464">
                  <c:v>561</c:v>
                </c:pt>
                <c:pt idx="465">
                  <c:v>541</c:v>
                </c:pt>
                <c:pt idx="466">
                  <c:v>1425</c:v>
                </c:pt>
                <c:pt idx="467">
                  <c:v>567</c:v>
                </c:pt>
                <c:pt idx="468">
                  <c:v>588</c:v>
                </c:pt>
                <c:pt idx="469">
                  <c:v>551</c:v>
                </c:pt>
                <c:pt idx="470">
                  <c:v>535</c:v>
                </c:pt>
                <c:pt idx="471">
                  <c:v>575</c:v>
                </c:pt>
                <c:pt idx="472">
                  <c:v>351</c:v>
                </c:pt>
                <c:pt idx="473">
                  <c:v>850</c:v>
                </c:pt>
                <c:pt idx="474">
                  <c:v>7840</c:v>
                </c:pt>
                <c:pt idx="475">
                  <c:v>37807</c:v>
                </c:pt>
                <c:pt idx="476">
                  <c:v>686</c:v>
                </c:pt>
                <c:pt idx="477">
                  <c:v>541</c:v>
                </c:pt>
                <c:pt idx="478">
                  <c:v>515</c:v>
                </c:pt>
                <c:pt idx="479">
                  <c:v>561</c:v>
                </c:pt>
                <c:pt idx="480">
                  <c:v>561</c:v>
                </c:pt>
                <c:pt idx="481">
                  <c:v>551</c:v>
                </c:pt>
                <c:pt idx="482">
                  <c:v>592</c:v>
                </c:pt>
                <c:pt idx="483">
                  <c:v>551</c:v>
                </c:pt>
                <c:pt idx="484">
                  <c:v>572</c:v>
                </c:pt>
                <c:pt idx="485">
                  <c:v>754</c:v>
                </c:pt>
                <c:pt idx="486">
                  <c:v>561</c:v>
                </c:pt>
                <c:pt idx="487">
                  <c:v>494</c:v>
                </c:pt>
                <c:pt idx="488">
                  <c:v>541</c:v>
                </c:pt>
                <c:pt idx="489">
                  <c:v>351</c:v>
                </c:pt>
                <c:pt idx="490">
                  <c:v>1220</c:v>
                </c:pt>
                <c:pt idx="491">
                  <c:v>541</c:v>
                </c:pt>
                <c:pt idx="492">
                  <c:v>36152</c:v>
                </c:pt>
                <c:pt idx="493">
                  <c:v>541</c:v>
                </c:pt>
                <c:pt idx="494">
                  <c:v>541</c:v>
                </c:pt>
                <c:pt idx="495">
                  <c:v>541</c:v>
                </c:pt>
                <c:pt idx="496">
                  <c:v>510</c:v>
                </c:pt>
                <c:pt idx="497">
                  <c:v>536</c:v>
                </c:pt>
                <c:pt idx="498">
                  <c:v>567</c:v>
                </c:pt>
                <c:pt idx="499">
                  <c:v>561</c:v>
                </c:pt>
                <c:pt idx="500">
                  <c:v>515</c:v>
                </c:pt>
                <c:pt idx="501">
                  <c:v>550</c:v>
                </c:pt>
                <c:pt idx="502">
                  <c:v>505</c:v>
                </c:pt>
                <c:pt idx="503">
                  <c:v>582</c:v>
                </c:pt>
                <c:pt idx="504">
                  <c:v>561</c:v>
                </c:pt>
                <c:pt idx="505">
                  <c:v>541</c:v>
                </c:pt>
                <c:pt idx="506">
                  <c:v>381</c:v>
                </c:pt>
                <c:pt idx="507">
                  <c:v>541</c:v>
                </c:pt>
                <c:pt idx="508">
                  <c:v>908</c:v>
                </c:pt>
                <c:pt idx="509">
                  <c:v>35796</c:v>
                </c:pt>
                <c:pt idx="510">
                  <c:v>452</c:v>
                </c:pt>
                <c:pt idx="511">
                  <c:v>551</c:v>
                </c:pt>
                <c:pt idx="512">
                  <c:v>541</c:v>
                </c:pt>
                <c:pt idx="513">
                  <c:v>35802</c:v>
                </c:pt>
                <c:pt idx="514">
                  <c:v>551</c:v>
                </c:pt>
                <c:pt idx="515">
                  <c:v>454</c:v>
                </c:pt>
                <c:pt idx="516">
                  <c:v>567</c:v>
                </c:pt>
                <c:pt idx="517">
                  <c:v>1220</c:v>
                </c:pt>
                <c:pt idx="518">
                  <c:v>561</c:v>
                </c:pt>
                <c:pt idx="519">
                  <c:v>561</c:v>
                </c:pt>
                <c:pt idx="520">
                  <c:v>551</c:v>
                </c:pt>
                <c:pt idx="521">
                  <c:v>535</c:v>
                </c:pt>
                <c:pt idx="522">
                  <c:v>35792</c:v>
                </c:pt>
                <c:pt idx="523">
                  <c:v>561</c:v>
                </c:pt>
                <c:pt idx="524">
                  <c:v>561</c:v>
                </c:pt>
                <c:pt idx="525">
                  <c:v>561</c:v>
                </c:pt>
                <c:pt idx="526">
                  <c:v>351</c:v>
                </c:pt>
                <c:pt idx="527">
                  <c:v>541</c:v>
                </c:pt>
                <c:pt idx="528">
                  <c:v>1202</c:v>
                </c:pt>
                <c:pt idx="529">
                  <c:v>604</c:v>
                </c:pt>
                <c:pt idx="530">
                  <c:v>541</c:v>
                </c:pt>
                <c:pt idx="531">
                  <c:v>1220</c:v>
                </c:pt>
                <c:pt idx="532">
                  <c:v>600</c:v>
                </c:pt>
                <c:pt idx="533">
                  <c:v>1202</c:v>
                </c:pt>
                <c:pt idx="534">
                  <c:v>35798</c:v>
                </c:pt>
                <c:pt idx="535">
                  <c:v>351</c:v>
                </c:pt>
                <c:pt idx="536">
                  <c:v>35803</c:v>
                </c:pt>
                <c:pt idx="537">
                  <c:v>20247</c:v>
                </c:pt>
                <c:pt idx="538">
                  <c:v>507</c:v>
                </c:pt>
                <c:pt idx="539">
                  <c:v>541</c:v>
                </c:pt>
                <c:pt idx="540">
                  <c:v>555</c:v>
                </c:pt>
                <c:pt idx="541">
                  <c:v>541</c:v>
                </c:pt>
                <c:pt idx="542">
                  <c:v>511</c:v>
                </c:pt>
                <c:pt idx="543">
                  <c:v>35798</c:v>
                </c:pt>
                <c:pt idx="544">
                  <c:v>571</c:v>
                </c:pt>
                <c:pt idx="545">
                  <c:v>351</c:v>
                </c:pt>
                <c:pt idx="546">
                  <c:v>550</c:v>
                </c:pt>
                <c:pt idx="547">
                  <c:v>624</c:v>
                </c:pt>
                <c:pt idx="548">
                  <c:v>541</c:v>
                </c:pt>
                <c:pt idx="549">
                  <c:v>1099</c:v>
                </c:pt>
                <c:pt idx="550">
                  <c:v>720</c:v>
                </c:pt>
                <c:pt idx="551">
                  <c:v>535</c:v>
                </c:pt>
                <c:pt idx="552">
                  <c:v>511</c:v>
                </c:pt>
                <c:pt idx="553">
                  <c:v>581</c:v>
                </c:pt>
                <c:pt idx="554">
                  <c:v>537</c:v>
                </c:pt>
                <c:pt idx="555">
                  <c:v>601</c:v>
                </c:pt>
                <c:pt idx="556">
                  <c:v>382</c:v>
                </c:pt>
                <c:pt idx="557">
                  <c:v>567</c:v>
                </c:pt>
                <c:pt idx="558">
                  <c:v>600</c:v>
                </c:pt>
                <c:pt idx="559">
                  <c:v>564</c:v>
                </c:pt>
                <c:pt idx="560">
                  <c:v>571</c:v>
                </c:pt>
                <c:pt idx="561">
                  <c:v>1202</c:v>
                </c:pt>
                <c:pt idx="562">
                  <c:v>758</c:v>
                </c:pt>
                <c:pt idx="563">
                  <c:v>541</c:v>
                </c:pt>
                <c:pt idx="564">
                  <c:v>567</c:v>
                </c:pt>
                <c:pt idx="565">
                  <c:v>1202</c:v>
                </c:pt>
                <c:pt idx="566">
                  <c:v>551</c:v>
                </c:pt>
                <c:pt idx="567">
                  <c:v>537</c:v>
                </c:pt>
                <c:pt idx="568">
                  <c:v>398</c:v>
                </c:pt>
                <c:pt idx="569">
                  <c:v>560</c:v>
                </c:pt>
                <c:pt idx="570">
                  <c:v>1202</c:v>
                </c:pt>
                <c:pt idx="571">
                  <c:v>362</c:v>
                </c:pt>
                <c:pt idx="572">
                  <c:v>35786</c:v>
                </c:pt>
                <c:pt idx="573">
                  <c:v>351</c:v>
                </c:pt>
                <c:pt idx="574">
                  <c:v>600</c:v>
                </c:pt>
                <c:pt idx="575">
                  <c:v>20366</c:v>
                </c:pt>
                <c:pt idx="576">
                  <c:v>963</c:v>
                </c:pt>
                <c:pt idx="577">
                  <c:v>35793</c:v>
                </c:pt>
                <c:pt idx="578">
                  <c:v>551</c:v>
                </c:pt>
                <c:pt idx="579">
                  <c:v>500</c:v>
                </c:pt>
                <c:pt idx="580">
                  <c:v>561</c:v>
                </c:pt>
                <c:pt idx="581">
                  <c:v>1098</c:v>
                </c:pt>
                <c:pt idx="582">
                  <c:v>1508</c:v>
                </c:pt>
                <c:pt idx="583">
                  <c:v>541</c:v>
                </c:pt>
                <c:pt idx="584">
                  <c:v>541</c:v>
                </c:pt>
                <c:pt idx="585">
                  <c:v>35801</c:v>
                </c:pt>
                <c:pt idx="586">
                  <c:v>500</c:v>
                </c:pt>
                <c:pt idx="587">
                  <c:v>535</c:v>
                </c:pt>
                <c:pt idx="588">
                  <c:v>22195</c:v>
                </c:pt>
                <c:pt idx="589">
                  <c:v>523</c:v>
                </c:pt>
                <c:pt idx="590">
                  <c:v>7844</c:v>
                </c:pt>
                <c:pt idx="591">
                  <c:v>581</c:v>
                </c:pt>
                <c:pt idx="592">
                  <c:v>506</c:v>
                </c:pt>
                <c:pt idx="593">
                  <c:v>703</c:v>
                </c:pt>
                <c:pt idx="594">
                  <c:v>600</c:v>
                </c:pt>
                <c:pt idx="595">
                  <c:v>551</c:v>
                </c:pt>
                <c:pt idx="596">
                  <c:v>541</c:v>
                </c:pt>
                <c:pt idx="597">
                  <c:v>551</c:v>
                </c:pt>
                <c:pt idx="598">
                  <c:v>541</c:v>
                </c:pt>
                <c:pt idx="599">
                  <c:v>351</c:v>
                </c:pt>
                <c:pt idx="600">
                  <c:v>649</c:v>
                </c:pt>
                <c:pt idx="601">
                  <c:v>567</c:v>
                </c:pt>
                <c:pt idx="602">
                  <c:v>35854</c:v>
                </c:pt>
                <c:pt idx="603">
                  <c:v>35794</c:v>
                </c:pt>
                <c:pt idx="604">
                  <c:v>35796</c:v>
                </c:pt>
                <c:pt idx="605">
                  <c:v>35794</c:v>
                </c:pt>
                <c:pt idx="606">
                  <c:v>541</c:v>
                </c:pt>
                <c:pt idx="607">
                  <c:v>625</c:v>
                </c:pt>
                <c:pt idx="608">
                  <c:v>35797</c:v>
                </c:pt>
                <c:pt idx="609">
                  <c:v>351</c:v>
                </c:pt>
                <c:pt idx="610">
                  <c:v>588</c:v>
                </c:pt>
                <c:pt idx="611">
                  <c:v>351</c:v>
                </c:pt>
                <c:pt idx="612">
                  <c:v>561</c:v>
                </c:pt>
                <c:pt idx="613">
                  <c:v>715</c:v>
                </c:pt>
                <c:pt idx="614">
                  <c:v>508</c:v>
                </c:pt>
                <c:pt idx="615">
                  <c:v>561</c:v>
                </c:pt>
                <c:pt idx="616">
                  <c:v>36343</c:v>
                </c:pt>
                <c:pt idx="617">
                  <c:v>583</c:v>
                </c:pt>
                <c:pt idx="618">
                  <c:v>504</c:v>
                </c:pt>
                <c:pt idx="619">
                  <c:v>35801</c:v>
                </c:pt>
                <c:pt idx="620">
                  <c:v>478</c:v>
                </c:pt>
                <c:pt idx="621">
                  <c:v>567</c:v>
                </c:pt>
                <c:pt idx="622">
                  <c:v>575</c:v>
                </c:pt>
                <c:pt idx="623">
                  <c:v>551</c:v>
                </c:pt>
                <c:pt idx="624">
                  <c:v>35795</c:v>
                </c:pt>
                <c:pt idx="625">
                  <c:v>351</c:v>
                </c:pt>
                <c:pt idx="626">
                  <c:v>492</c:v>
                </c:pt>
                <c:pt idx="627">
                  <c:v>541</c:v>
                </c:pt>
                <c:pt idx="628">
                  <c:v>536</c:v>
                </c:pt>
                <c:pt idx="629">
                  <c:v>35797</c:v>
                </c:pt>
                <c:pt idx="630">
                  <c:v>537</c:v>
                </c:pt>
                <c:pt idx="631">
                  <c:v>507</c:v>
                </c:pt>
                <c:pt idx="632">
                  <c:v>561</c:v>
                </c:pt>
                <c:pt idx="633">
                  <c:v>351</c:v>
                </c:pt>
                <c:pt idx="634">
                  <c:v>1202</c:v>
                </c:pt>
                <c:pt idx="635">
                  <c:v>1201</c:v>
                </c:pt>
                <c:pt idx="636">
                  <c:v>561</c:v>
                </c:pt>
                <c:pt idx="637">
                  <c:v>541</c:v>
                </c:pt>
                <c:pt idx="638">
                  <c:v>561</c:v>
                </c:pt>
                <c:pt idx="639">
                  <c:v>540</c:v>
                </c:pt>
                <c:pt idx="640">
                  <c:v>280</c:v>
                </c:pt>
                <c:pt idx="641">
                  <c:v>541</c:v>
                </c:pt>
                <c:pt idx="642">
                  <c:v>551</c:v>
                </c:pt>
                <c:pt idx="643">
                  <c:v>35700</c:v>
                </c:pt>
                <c:pt idx="644">
                  <c:v>562</c:v>
                </c:pt>
                <c:pt idx="645">
                  <c:v>1090</c:v>
                </c:pt>
                <c:pt idx="646">
                  <c:v>1220</c:v>
                </c:pt>
                <c:pt idx="647">
                  <c:v>362</c:v>
                </c:pt>
                <c:pt idx="648">
                  <c:v>558</c:v>
                </c:pt>
                <c:pt idx="649">
                  <c:v>533</c:v>
                </c:pt>
                <c:pt idx="651">
                  <c:v>561</c:v>
                </c:pt>
                <c:pt idx="652">
                  <c:v>405</c:v>
                </c:pt>
                <c:pt idx="653">
                  <c:v>541</c:v>
                </c:pt>
                <c:pt idx="654">
                  <c:v>623</c:v>
                </c:pt>
                <c:pt idx="655">
                  <c:v>551</c:v>
                </c:pt>
                <c:pt idx="656">
                  <c:v>571</c:v>
                </c:pt>
                <c:pt idx="657">
                  <c:v>561</c:v>
                </c:pt>
                <c:pt idx="658">
                  <c:v>982</c:v>
                </c:pt>
                <c:pt idx="659">
                  <c:v>561</c:v>
                </c:pt>
                <c:pt idx="660">
                  <c:v>561</c:v>
                </c:pt>
                <c:pt idx="661">
                  <c:v>280</c:v>
                </c:pt>
                <c:pt idx="662">
                  <c:v>541</c:v>
                </c:pt>
                <c:pt idx="663">
                  <c:v>541</c:v>
                </c:pt>
                <c:pt idx="664">
                  <c:v>561</c:v>
                </c:pt>
                <c:pt idx="665">
                  <c:v>567</c:v>
                </c:pt>
                <c:pt idx="666">
                  <c:v>541</c:v>
                </c:pt>
                <c:pt idx="667">
                  <c:v>610</c:v>
                </c:pt>
                <c:pt idx="668">
                  <c:v>20211</c:v>
                </c:pt>
                <c:pt idx="669">
                  <c:v>1207</c:v>
                </c:pt>
                <c:pt idx="670">
                  <c:v>515</c:v>
                </c:pt>
                <c:pt idx="671">
                  <c:v>351</c:v>
                </c:pt>
                <c:pt idx="672">
                  <c:v>602</c:v>
                </c:pt>
                <c:pt idx="673">
                  <c:v>582</c:v>
                </c:pt>
                <c:pt idx="674">
                  <c:v>604</c:v>
                </c:pt>
                <c:pt idx="675">
                  <c:v>509</c:v>
                </c:pt>
                <c:pt idx="676">
                  <c:v>342</c:v>
                </c:pt>
                <c:pt idx="677">
                  <c:v>35782</c:v>
                </c:pt>
                <c:pt idx="678">
                  <c:v>502</c:v>
                </c:pt>
                <c:pt idx="679">
                  <c:v>551</c:v>
                </c:pt>
                <c:pt idx="680">
                  <c:v>496</c:v>
                </c:pt>
                <c:pt idx="681">
                  <c:v>19146</c:v>
                </c:pt>
                <c:pt idx="682">
                  <c:v>541</c:v>
                </c:pt>
                <c:pt idx="683">
                  <c:v>561</c:v>
                </c:pt>
                <c:pt idx="684">
                  <c:v>550</c:v>
                </c:pt>
                <c:pt idx="685">
                  <c:v>523</c:v>
                </c:pt>
                <c:pt idx="686">
                  <c:v>541</c:v>
                </c:pt>
                <c:pt idx="687">
                  <c:v>35795</c:v>
                </c:pt>
                <c:pt idx="688">
                  <c:v>541</c:v>
                </c:pt>
                <c:pt idx="689">
                  <c:v>491</c:v>
                </c:pt>
                <c:pt idx="690">
                  <c:v>541</c:v>
                </c:pt>
                <c:pt idx="691">
                  <c:v>561</c:v>
                </c:pt>
                <c:pt idx="692">
                  <c:v>539</c:v>
                </c:pt>
                <c:pt idx="693">
                  <c:v>70117</c:v>
                </c:pt>
                <c:pt idx="694">
                  <c:v>589</c:v>
                </c:pt>
                <c:pt idx="695">
                  <c:v>1459</c:v>
                </c:pt>
                <c:pt idx="696">
                  <c:v>35791</c:v>
                </c:pt>
                <c:pt idx="697">
                  <c:v>19154</c:v>
                </c:pt>
                <c:pt idx="698">
                  <c:v>567</c:v>
                </c:pt>
                <c:pt idx="699">
                  <c:v>280</c:v>
                </c:pt>
                <c:pt idx="700">
                  <c:v>1202</c:v>
                </c:pt>
                <c:pt idx="701">
                  <c:v>8069</c:v>
                </c:pt>
                <c:pt idx="702">
                  <c:v>561</c:v>
                </c:pt>
                <c:pt idx="703">
                  <c:v>550</c:v>
                </c:pt>
                <c:pt idx="704">
                  <c:v>1220</c:v>
                </c:pt>
                <c:pt idx="705">
                  <c:v>581</c:v>
                </c:pt>
                <c:pt idx="706">
                  <c:v>21549</c:v>
                </c:pt>
                <c:pt idx="707">
                  <c:v>603</c:v>
                </c:pt>
                <c:pt idx="708">
                  <c:v>1202</c:v>
                </c:pt>
                <c:pt idx="709">
                  <c:v>1508</c:v>
                </c:pt>
                <c:pt idx="710">
                  <c:v>35793</c:v>
                </c:pt>
                <c:pt idx="711">
                  <c:v>541</c:v>
                </c:pt>
                <c:pt idx="712">
                  <c:v>600</c:v>
                </c:pt>
                <c:pt idx="713">
                  <c:v>35924</c:v>
                </c:pt>
                <c:pt idx="714">
                  <c:v>474</c:v>
                </c:pt>
                <c:pt idx="715">
                  <c:v>579</c:v>
                </c:pt>
                <c:pt idx="716">
                  <c:v>567</c:v>
                </c:pt>
                <c:pt idx="717">
                  <c:v>351</c:v>
                </c:pt>
                <c:pt idx="718">
                  <c:v>551</c:v>
                </c:pt>
                <c:pt idx="719">
                  <c:v>551</c:v>
                </c:pt>
                <c:pt idx="720">
                  <c:v>562</c:v>
                </c:pt>
                <c:pt idx="721">
                  <c:v>446</c:v>
                </c:pt>
                <c:pt idx="722">
                  <c:v>738</c:v>
                </c:pt>
                <c:pt idx="723">
                  <c:v>543</c:v>
                </c:pt>
                <c:pt idx="724">
                  <c:v>561</c:v>
                </c:pt>
                <c:pt idx="725">
                  <c:v>561</c:v>
                </c:pt>
                <c:pt idx="726">
                  <c:v>561</c:v>
                </c:pt>
                <c:pt idx="727">
                  <c:v>351</c:v>
                </c:pt>
                <c:pt idx="728">
                  <c:v>625</c:v>
                </c:pt>
                <c:pt idx="729">
                  <c:v>567</c:v>
                </c:pt>
                <c:pt idx="730">
                  <c:v>582</c:v>
                </c:pt>
                <c:pt idx="731">
                  <c:v>35785</c:v>
                </c:pt>
                <c:pt idx="732">
                  <c:v>536</c:v>
                </c:pt>
                <c:pt idx="733">
                  <c:v>363</c:v>
                </c:pt>
                <c:pt idx="734">
                  <c:v>567</c:v>
                </c:pt>
                <c:pt idx="735">
                  <c:v>510</c:v>
                </c:pt>
                <c:pt idx="736">
                  <c:v>1220</c:v>
                </c:pt>
                <c:pt idx="737">
                  <c:v>760</c:v>
                </c:pt>
                <c:pt idx="738">
                  <c:v>280</c:v>
                </c:pt>
                <c:pt idx="739">
                  <c:v>581</c:v>
                </c:pt>
                <c:pt idx="740">
                  <c:v>561</c:v>
                </c:pt>
                <c:pt idx="741">
                  <c:v>551</c:v>
                </c:pt>
                <c:pt idx="742">
                  <c:v>1220</c:v>
                </c:pt>
                <c:pt idx="743">
                  <c:v>561</c:v>
                </c:pt>
                <c:pt idx="744">
                  <c:v>583</c:v>
                </c:pt>
                <c:pt idx="745">
                  <c:v>576</c:v>
                </c:pt>
                <c:pt idx="746">
                  <c:v>541</c:v>
                </c:pt>
                <c:pt idx="747">
                  <c:v>610</c:v>
                </c:pt>
                <c:pt idx="748">
                  <c:v>446</c:v>
                </c:pt>
                <c:pt idx="749">
                  <c:v>492</c:v>
                </c:pt>
                <c:pt idx="750">
                  <c:v>1202</c:v>
                </c:pt>
                <c:pt idx="751">
                  <c:v>567</c:v>
                </c:pt>
                <c:pt idx="752">
                  <c:v>510</c:v>
                </c:pt>
                <c:pt idx="753">
                  <c:v>564</c:v>
                </c:pt>
                <c:pt idx="754">
                  <c:v>533</c:v>
                </c:pt>
                <c:pt idx="755">
                  <c:v>523</c:v>
                </c:pt>
                <c:pt idx="756">
                  <c:v>541</c:v>
                </c:pt>
                <c:pt idx="757">
                  <c:v>35933</c:v>
                </c:pt>
                <c:pt idx="758">
                  <c:v>541</c:v>
                </c:pt>
                <c:pt idx="759">
                  <c:v>551</c:v>
                </c:pt>
                <c:pt idx="760">
                  <c:v>35794</c:v>
                </c:pt>
                <c:pt idx="761">
                  <c:v>587</c:v>
                </c:pt>
                <c:pt idx="762">
                  <c:v>516</c:v>
                </c:pt>
                <c:pt idx="763">
                  <c:v>35790</c:v>
                </c:pt>
                <c:pt idx="764">
                  <c:v>351</c:v>
                </c:pt>
                <c:pt idx="765">
                  <c:v>1202</c:v>
                </c:pt>
                <c:pt idx="766">
                  <c:v>280</c:v>
                </c:pt>
                <c:pt idx="767">
                  <c:v>541</c:v>
                </c:pt>
                <c:pt idx="768">
                  <c:v>35791</c:v>
                </c:pt>
                <c:pt idx="769">
                  <c:v>509</c:v>
                </c:pt>
                <c:pt idx="770">
                  <c:v>580</c:v>
                </c:pt>
                <c:pt idx="771">
                  <c:v>551</c:v>
                </c:pt>
                <c:pt idx="772">
                  <c:v>541</c:v>
                </c:pt>
                <c:pt idx="773">
                  <c:v>509</c:v>
                </c:pt>
                <c:pt idx="774">
                  <c:v>351</c:v>
                </c:pt>
                <c:pt idx="775">
                  <c:v>351</c:v>
                </c:pt>
                <c:pt idx="776">
                  <c:v>541</c:v>
                </c:pt>
                <c:pt idx="777">
                  <c:v>541</c:v>
                </c:pt>
                <c:pt idx="778">
                  <c:v>35801</c:v>
                </c:pt>
                <c:pt idx="779">
                  <c:v>536</c:v>
                </c:pt>
                <c:pt idx="780">
                  <c:v>535</c:v>
                </c:pt>
                <c:pt idx="781">
                  <c:v>541</c:v>
                </c:pt>
                <c:pt idx="782">
                  <c:v>511</c:v>
                </c:pt>
                <c:pt idx="783">
                  <c:v>541</c:v>
                </c:pt>
                <c:pt idx="784">
                  <c:v>535</c:v>
                </c:pt>
                <c:pt idx="785">
                  <c:v>535</c:v>
                </c:pt>
                <c:pt idx="786">
                  <c:v>541</c:v>
                </c:pt>
                <c:pt idx="787">
                  <c:v>363</c:v>
                </c:pt>
                <c:pt idx="788">
                  <c:v>623</c:v>
                </c:pt>
                <c:pt idx="789">
                  <c:v>351</c:v>
                </c:pt>
                <c:pt idx="790">
                  <c:v>584</c:v>
                </c:pt>
                <c:pt idx="791">
                  <c:v>419</c:v>
                </c:pt>
                <c:pt idx="792">
                  <c:v>500</c:v>
                </c:pt>
                <c:pt idx="793">
                  <c:v>110791</c:v>
                </c:pt>
                <c:pt idx="794">
                  <c:v>541</c:v>
                </c:pt>
                <c:pt idx="795">
                  <c:v>352</c:v>
                </c:pt>
                <c:pt idx="796">
                  <c:v>550</c:v>
                </c:pt>
                <c:pt idx="797">
                  <c:v>36000</c:v>
                </c:pt>
                <c:pt idx="798">
                  <c:v>900</c:v>
                </c:pt>
                <c:pt idx="799">
                  <c:v>561</c:v>
                </c:pt>
                <c:pt idx="800">
                  <c:v>499</c:v>
                </c:pt>
                <c:pt idx="801">
                  <c:v>505</c:v>
                </c:pt>
                <c:pt idx="802">
                  <c:v>815</c:v>
                </c:pt>
                <c:pt idx="803">
                  <c:v>561</c:v>
                </c:pt>
                <c:pt idx="804">
                  <c:v>280</c:v>
                </c:pt>
                <c:pt idx="805">
                  <c:v>551</c:v>
                </c:pt>
                <c:pt idx="806">
                  <c:v>561</c:v>
                </c:pt>
                <c:pt idx="807">
                  <c:v>543</c:v>
                </c:pt>
                <c:pt idx="808">
                  <c:v>35802</c:v>
                </c:pt>
                <c:pt idx="809">
                  <c:v>280</c:v>
                </c:pt>
                <c:pt idx="810">
                  <c:v>541</c:v>
                </c:pt>
                <c:pt idx="811">
                  <c:v>561</c:v>
                </c:pt>
                <c:pt idx="812">
                  <c:v>381</c:v>
                </c:pt>
                <c:pt idx="813">
                  <c:v>550</c:v>
                </c:pt>
                <c:pt idx="814">
                  <c:v>715</c:v>
                </c:pt>
                <c:pt idx="815">
                  <c:v>446</c:v>
                </c:pt>
                <c:pt idx="816">
                  <c:v>502</c:v>
                </c:pt>
                <c:pt idx="817">
                  <c:v>541</c:v>
                </c:pt>
                <c:pt idx="818">
                  <c:v>585</c:v>
                </c:pt>
                <c:pt idx="819">
                  <c:v>551</c:v>
                </c:pt>
                <c:pt idx="820">
                  <c:v>280</c:v>
                </c:pt>
                <c:pt idx="821">
                  <c:v>1100</c:v>
                </c:pt>
                <c:pt idx="822">
                  <c:v>561</c:v>
                </c:pt>
                <c:pt idx="823">
                  <c:v>35790</c:v>
                </c:pt>
                <c:pt idx="824">
                  <c:v>568</c:v>
                </c:pt>
                <c:pt idx="825">
                  <c:v>541</c:v>
                </c:pt>
                <c:pt idx="826">
                  <c:v>478</c:v>
                </c:pt>
                <c:pt idx="827">
                  <c:v>561</c:v>
                </c:pt>
                <c:pt idx="828">
                  <c:v>535</c:v>
                </c:pt>
                <c:pt idx="829">
                  <c:v>35810</c:v>
                </c:pt>
                <c:pt idx="830">
                  <c:v>541</c:v>
                </c:pt>
                <c:pt idx="831">
                  <c:v>536</c:v>
                </c:pt>
                <c:pt idx="832">
                  <c:v>561</c:v>
                </c:pt>
                <c:pt idx="833">
                  <c:v>541</c:v>
                </c:pt>
                <c:pt idx="834">
                  <c:v>541</c:v>
                </c:pt>
                <c:pt idx="835">
                  <c:v>601</c:v>
                </c:pt>
                <c:pt idx="836">
                  <c:v>535</c:v>
                </c:pt>
                <c:pt idx="837">
                  <c:v>35778</c:v>
                </c:pt>
                <c:pt idx="838">
                  <c:v>588</c:v>
                </c:pt>
                <c:pt idx="839">
                  <c:v>1180</c:v>
                </c:pt>
                <c:pt idx="840">
                  <c:v>1202</c:v>
                </c:pt>
                <c:pt idx="841">
                  <c:v>572</c:v>
                </c:pt>
                <c:pt idx="842">
                  <c:v>551</c:v>
                </c:pt>
                <c:pt idx="843">
                  <c:v>592</c:v>
                </c:pt>
                <c:pt idx="844">
                  <c:v>19133</c:v>
                </c:pt>
                <c:pt idx="845">
                  <c:v>35789</c:v>
                </c:pt>
                <c:pt idx="846">
                  <c:v>536</c:v>
                </c:pt>
                <c:pt idx="847">
                  <c:v>561</c:v>
                </c:pt>
                <c:pt idx="848">
                  <c:v>1202</c:v>
                </c:pt>
                <c:pt idx="849">
                  <c:v>541</c:v>
                </c:pt>
                <c:pt idx="850">
                  <c:v>546</c:v>
                </c:pt>
                <c:pt idx="851">
                  <c:v>290</c:v>
                </c:pt>
                <c:pt idx="852">
                  <c:v>534</c:v>
                </c:pt>
                <c:pt idx="853">
                  <c:v>669</c:v>
                </c:pt>
                <c:pt idx="854">
                  <c:v>541</c:v>
                </c:pt>
                <c:pt idx="855">
                  <c:v>505</c:v>
                </c:pt>
                <c:pt idx="856">
                  <c:v>351</c:v>
                </c:pt>
                <c:pt idx="857">
                  <c:v>832</c:v>
                </c:pt>
                <c:pt idx="858">
                  <c:v>567</c:v>
                </c:pt>
                <c:pt idx="859">
                  <c:v>561</c:v>
                </c:pt>
                <c:pt idx="860">
                  <c:v>982</c:v>
                </c:pt>
                <c:pt idx="861">
                  <c:v>515</c:v>
                </c:pt>
                <c:pt idx="862">
                  <c:v>541</c:v>
                </c:pt>
                <c:pt idx="863">
                  <c:v>280</c:v>
                </c:pt>
                <c:pt idx="864">
                  <c:v>505</c:v>
                </c:pt>
                <c:pt idx="865">
                  <c:v>551</c:v>
                </c:pt>
                <c:pt idx="866">
                  <c:v>703</c:v>
                </c:pt>
                <c:pt idx="867">
                  <c:v>541</c:v>
                </c:pt>
                <c:pt idx="868">
                  <c:v>575</c:v>
                </c:pt>
                <c:pt idx="869">
                  <c:v>1099</c:v>
                </c:pt>
                <c:pt idx="870">
                  <c:v>35792</c:v>
                </c:pt>
                <c:pt idx="871">
                  <c:v>561</c:v>
                </c:pt>
                <c:pt idx="872">
                  <c:v>35787</c:v>
                </c:pt>
                <c:pt idx="873">
                  <c:v>351</c:v>
                </c:pt>
                <c:pt idx="874">
                  <c:v>535</c:v>
                </c:pt>
                <c:pt idx="875">
                  <c:v>603</c:v>
                </c:pt>
                <c:pt idx="876">
                  <c:v>694</c:v>
                </c:pt>
                <c:pt idx="877">
                  <c:v>549</c:v>
                </c:pt>
                <c:pt idx="878">
                  <c:v>561</c:v>
                </c:pt>
                <c:pt idx="879">
                  <c:v>1202</c:v>
                </c:pt>
                <c:pt idx="880">
                  <c:v>541</c:v>
                </c:pt>
                <c:pt idx="881">
                  <c:v>1506</c:v>
                </c:pt>
                <c:pt idx="882">
                  <c:v>561</c:v>
                </c:pt>
                <c:pt idx="883">
                  <c:v>419</c:v>
                </c:pt>
                <c:pt idx="884">
                  <c:v>541</c:v>
                </c:pt>
                <c:pt idx="885">
                  <c:v>509</c:v>
                </c:pt>
                <c:pt idx="886">
                  <c:v>507</c:v>
                </c:pt>
                <c:pt idx="887">
                  <c:v>35813</c:v>
                </c:pt>
                <c:pt idx="888">
                  <c:v>541</c:v>
                </c:pt>
                <c:pt idx="889">
                  <c:v>35500</c:v>
                </c:pt>
                <c:pt idx="890">
                  <c:v>533</c:v>
                </c:pt>
                <c:pt idx="891">
                  <c:v>1203</c:v>
                </c:pt>
                <c:pt idx="892">
                  <c:v>581</c:v>
                </c:pt>
                <c:pt idx="893">
                  <c:v>580</c:v>
                </c:pt>
                <c:pt idx="894">
                  <c:v>561</c:v>
                </c:pt>
                <c:pt idx="895">
                  <c:v>551</c:v>
                </c:pt>
                <c:pt idx="896">
                  <c:v>695</c:v>
                </c:pt>
                <c:pt idx="897">
                  <c:v>561</c:v>
                </c:pt>
                <c:pt idx="898">
                  <c:v>532</c:v>
                </c:pt>
                <c:pt idx="899">
                  <c:v>35796</c:v>
                </c:pt>
                <c:pt idx="900">
                  <c:v>564</c:v>
                </c:pt>
                <c:pt idx="901">
                  <c:v>505</c:v>
                </c:pt>
                <c:pt idx="902">
                  <c:v>551</c:v>
                </c:pt>
                <c:pt idx="903">
                  <c:v>632</c:v>
                </c:pt>
                <c:pt idx="904">
                  <c:v>561</c:v>
                </c:pt>
                <c:pt idx="905">
                  <c:v>541</c:v>
                </c:pt>
                <c:pt idx="906">
                  <c:v>567</c:v>
                </c:pt>
                <c:pt idx="907">
                  <c:v>561</c:v>
                </c:pt>
                <c:pt idx="908">
                  <c:v>1509</c:v>
                </c:pt>
                <c:pt idx="909">
                  <c:v>535</c:v>
                </c:pt>
                <c:pt idx="910">
                  <c:v>35805</c:v>
                </c:pt>
                <c:pt idx="911">
                  <c:v>35795</c:v>
                </c:pt>
                <c:pt idx="912">
                  <c:v>1202</c:v>
                </c:pt>
                <c:pt idx="913">
                  <c:v>35804</c:v>
                </c:pt>
                <c:pt idx="914">
                  <c:v>541</c:v>
                </c:pt>
                <c:pt idx="915">
                  <c:v>541</c:v>
                </c:pt>
                <c:pt idx="916">
                  <c:v>19149</c:v>
                </c:pt>
                <c:pt idx="917">
                  <c:v>534</c:v>
                </c:pt>
                <c:pt idx="918">
                  <c:v>698</c:v>
                </c:pt>
                <c:pt idx="919">
                  <c:v>35788</c:v>
                </c:pt>
                <c:pt idx="920">
                  <c:v>551</c:v>
                </c:pt>
                <c:pt idx="921">
                  <c:v>581</c:v>
                </c:pt>
                <c:pt idx="922">
                  <c:v>1202</c:v>
                </c:pt>
                <c:pt idx="923">
                  <c:v>351</c:v>
                </c:pt>
                <c:pt idx="924">
                  <c:v>759</c:v>
                </c:pt>
                <c:pt idx="925">
                  <c:v>584</c:v>
                </c:pt>
                <c:pt idx="926">
                  <c:v>477</c:v>
                </c:pt>
                <c:pt idx="927">
                  <c:v>35793</c:v>
                </c:pt>
                <c:pt idx="928">
                  <c:v>551</c:v>
                </c:pt>
                <c:pt idx="929">
                  <c:v>35802</c:v>
                </c:pt>
                <c:pt idx="930">
                  <c:v>396</c:v>
                </c:pt>
                <c:pt idx="931">
                  <c:v>541</c:v>
                </c:pt>
                <c:pt idx="932">
                  <c:v>381</c:v>
                </c:pt>
                <c:pt idx="933">
                  <c:v>662</c:v>
                </c:pt>
                <c:pt idx="934">
                  <c:v>535</c:v>
                </c:pt>
                <c:pt idx="935">
                  <c:v>1202</c:v>
                </c:pt>
                <c:pt idx="936">
                  <c:v>1202</c:v>
                </c:pt>
                <c:pt idx="937">
                  <c:v>550</c:v>
                </c:pt>
                <c:pt idx="938">
                  <c:v>543</c:v>
                </c:pt>
                <c:pt idx="939">
                  <c:v>418</c:v>
                </c:pt>
                <c:pt idx="940">
                  <c:v>342</c:v>
                </c:pt>
                <c:pt idx="941">
                  <c:v>535</c:v>
                </c:pt>
                <c:pt idx="942">
                  <c:v>536</c:v>
                </c:pt>
                <c:pt idx="943">
                  <c:v>541</c:v>
                </c:pt>
                <c:pt idx="944">
                  <c:v>551</c:v>
                </c:pt>
                <c:pt idx="945">
                  <c:v>561</c:v>
                </c:pt>
                <c:pt idx="946">
                  <c:v>514</c:v>
                </c:pt>
                <c:pt idx="947">
                  <c:v>661</c:v>
                </c:pt>
                <c:pt idx="948">
                  <c:v>561</c:v>
                </c:pt>
                <c:pt idx="949">
                  <c:v>541</c:v>
                </c:pt>
                <c:pt idx="950">
                  <c:v>351</c:v>
                </c:pt>
                <c:pt idx="951">
                  <c:v>535</c:v>
                </c:pt>
                <c:pt idx="952">
                  <c:v>551</c:v>
                </c:pt>
                <c:pt idx="953">
                  <c:v>501</c:v>
                </c:pt>
                <c:pt idx="954">
                  <c:v>541</c:v>
                </c:pt>
                <c:pt idx="955">
                  <c:v>35793</c:v>
                </c:pt>
                <c:pt idx="956">
                  <c:v>280</c:v>
                </c:pt>
                <c:pt idx="957">
                  <c:v>35806</c:v>
                </c:pt>
                <c:pt idx="958">
                  <c:v>561</c:v>
                </c:pt>
                <c:pt idx="959">
                  <c:v>548</c:v>
                </c:pt>
                <c:pt idx="960">
                  <c:v>564</c:v>
                </c:pt>
                <c:pt idx="961">
                  <c:v>724</c:v>
                </c:pt>
                <c:pt idx="962">
                  <c:v>541</c:v>
                </c:pt>
                <c:pt idx="963">
                  <c:v>561</c:v>
                </c:pt>
                <c:pt idx="964">
                  <c:v>537</c:v>
                </c:pt>
                <c:pt idx="965">
                  <c:v>510</c:v>
                </c:pt>
                <c:pt idx="966">
                  <c:v>502</c:v>
                </c:pt>
                <c:pt idx="967">
                  <c:v>35874</c:v>
                </c:pt>
                <c:pt idx="968">
                  <c:v>575</c:v>
                </c:pt>
                <c:pt idx="969">
                  <c:v>551</c:v>
                </c:pt>
                <c:pt idx="970">
                  <c:v>561</c:v>
                </c:pt>
                <c:pt idx="971">
                  <c:v>600</c:v>
                </c:pt>
                <c:pt idx="972">
                  <c:v>353798</c:v>
                </c:pt>
                <c:pt idx="973">
                  <c:v>533</c:v>
                </c:pt>
                <c:pt idx="974">
                  <c:v>551</c:v>
                </c:pt>
                <c:pt idx="975">
                  <c:v>351</c:v>
                </c:pt>
                <c:pt idx="976">
                  <c:v>630</c:v>
                </c:pt>
                <c:pt idx="977">
                  <c:v>35885</c:v>
                </c:pt>
                <c:pt idx="978">
                  <c:v>561</c:v>
                </c:pt>
                <c:pt idx="979">
                  <c:v>508</c:v>
                </c:pt>
                <c:pt idx="980">
                  <c:v>539</c:v>
                </c:pt>
                <c:pt idx="981">
                  <c:v>541</c:v>
                </c:pt>
                <c:pt idx="982">
                  <c:v>567</c:v>
                </c:pt>
                <c:pt idx="983">
                  <c:v>541</c:v>
                </c:pt>
                <c:pt idx="984">
                  <c:v>541</c:v>
                </c:pt>
                <c:pt idx="985">
                  <c:v>541</c:v>
                </c:pt>
                <c:pt idx="986">
                  <c:v>1511</c:v>
                </c:pt>
                <c:pt idx="987">
                  <c:v>541</c:v>
                </c:pt>
                <c:pt idx="988">
                  <c:v>280</c:v>
                </c:pt>
                <c:pt idx="989">
                  <c:v>35800</c:v>
                </c:pt>
                <c:pt idx="990">
                  <c:v>512</c:v>
                </c:pt>
                <c:pt idx="991">
                  <c:v>561</c:v>
                </c:pt>
                <c:pt idx="992">
                  <c:v>535</c:v>
                </c:pt>
                <c:pt idx="993">
                  <c:v>506</c:v>
                </c:pt>
                <c:pt idx="994">
                  <c:v>550</c:v>
                </c:pt>
                <c:pt idx="995">
                  <c:v>351</c:v>
                </c:pt>
                <c:pt idx="996">
                  <c:v>35790</c:v>
                </c:pt>
                <c:pt idx="997">
                  <c:v>342</c:v>
                </c:pt>
                <c:pt idx="998">
                  <c:v>1204</c:v>
                </c:pt>
                <c:pt idx="999">
                  <c:v>541</c:v>
                </c:pt>
              </c:numCache>
            </c:numRef>
          </c:yVal>
          <c:smooth val="1"/>
        </c:ser>
        <c:axId val="5638451"/>
        <c:axId val="27981253"/>
      </c:scatterChart>
      <c:valAx>
        <c:axId val="5638451"/>
        <c:scaling>
          <c:logBase val="10"/>
          <c:orientation val="minMax"/>
        </c:scaling>
        <c:delete val="0"/>
        <c:axPos val="b"/>
        <c:majorGridlines>
          <c:spPr>
            <a:ln w="6480">
              <a:solidFill>
                <a:srgbClr val="b7b7b7"/>
              </a:solidFill>
              <a:round/>
            </a:ln>
          </c:spPr>
        </c:majorGridlines>
        <c:title>
          <c:tx>
            <c:rich>
              <a:bodyPr rot="0"/>
              <a:lstStyle/>
              <a:p>
                <a:pPr>
                  <a:defRPr b="1" sz="1000" spc="-1" strike="noStrike">
                    <a:solidFill>
                      <a:srgbClr val="000000"/>
                    </a:solidFill>
                    <a:latin typeface="Calibri"/>
                    <a:ea typeface="Calibri"/>
                  </a:defRPr>
                </a:pPr>
                <a:r>
                  <a:rPr b="1" sz="1000" spc="-1" strike="noStrike">
                    <a:solidFill>
                      <a:srgbClr val="000000"/>
                    </a:solidFill>
                    <a:latin typeface="Calibri"/>
                    <a:ea typeface="Calibri"/>
                  </a:rPr>
                  <a:t>Perigee (km)</a:t>
                </a:r>
              </a:p>
            </c:rich>
          </c:tx>
          <c:overlay val="0"/>
          <c:spPr>
            <a:noFill/>
            <a:ln w="0">
              <a:noFill/>
            </a:ln>
          </c:spPr>
        </c:title>
        <c:numFmt formatCode="General" sourceLinked="0"/>
        <c:majorTickMark val="none"/>
        <c:minorTickMark val="none"/>
        <c:tickLblPos val="nextTo"/>
        <c:spPr>
          <a:ln w="6480">
            <a:noFill/>
          </a:ln>
        </c:spPr>
        <c:txPr>
          <a:bodyPr/>
          <a:lstStyle/>
          <a:p>
            <a:pPr>
              <a:defRPr b="0" sz="1000" spc="-1" strike="noStrike">
                <a:solidFill>
                  <a:srgbClr val="000000"/>
                </a:solidFill>
                <a:latin typeface="Calibri"/>
                <a:ea typeface="Calibri"/>
              </a:defRPr>
            </a:pPr>
          </a:p>
        </c:txPr>
        <c:crossAx val="27981253"/>
        <c:crosses val="autoZero"/>
        <c:crossBetween val="midCat"/>
      </c:valAx>
      <c:valAx>
        <c:axId val="27981253"/>
        <c:scaling>
          <c:logBase val="10"/>
          <c:orientation val="minMax"/>
        </c:scaling>
        <c:delete val="0"/>
        <c:axPos val="l"/>
        <c:majorGridlines>
          <c:spPr>
            <a:ln w="6480">
              <a:solidFill>
                <a:srgbClr val="b7b7b7"/>
              </a:solidFill>
              <a:round/>
            </a:ln>
          </c:spPr>
        </c:majorGridlines>
        <c:title>
          <c:tx>
            <c:rich>
              <a:bodyPr rot="-5400000"/>
              <a:lstStyle/>
              <a:p>
                <a:pPr>
                  <a:defRPr b="1" sz="1000" spc="-1" strike="noStrike">
                    <a:solidFill>
                      <a:srgbClr val="000000"/>
                    </a:solidFill>
                    <a:latin typeface="Calibri"/>
                    <a:ea typeface="Calibri"/>
                  </a:defRPr>
                </a:pPr>
                <a:r>
                  <a:rPr b="1" sz="1000" spc="-1" strike="noStrike">
                    <a:solidFill>
                      <a:srgbClr val="000000"/>
                    </a:solidFill>
                    <a:latin typeface="Calibri"/>
                    <a:ea typeface="Calibri"/>
                  </a:rPr>
                  <a:t>Apogee (km)</a:t>
                </a:r>
              </a:p>
            </c:rich>
          </c:tx>
          <c:overlay val="0"/>
          <c:spPr>
            <a:noFill/>
            <a:ln w="0">
              <a:noFill/>
            </a:ln>
          </c:spPr>
        </c:title>
        <c:numFmt formatCode="General" sourceLinked="0"/>
        <c:majorTickMark val="none"/>
        <c:minorTickMark val="none"/>
        <c:tickLblPos val="nextTo"/>
        <c:spPr>
          <a:ln w="6480">
            <a:noFill/>
          </a:ln>
        </c:spPr>
        <c:txPr>
          <a:bodyPr/>
          <a:lstStyle/>
          <a:p>
            <a:pPr>
              <a:defRPr b="0" sz="1000" spc="-1" strike="noStrike">
                <a:solidFill>
                  <a:srgbClr val="000000"/>
                </a:solidFill>
                <a:latin typeface="Calibri"/>
                <a:ea typeface="Calibri"/>
              </a:defRPr>
            </a:pPr>
          </a:p>
        </c:txPr>
        <c:crossAx val="5638451"/>
        <c:crosses val="autoZero"/>
        <c:crossBetween val="midCat"/>
      </c:valAx>
      <c:spPr>
        <a:noFill/>
        <a:ln w="0">
          <a:noFill/>
        </a:ln>
      </c:spPr>
    </c:plotArea>
    <c:legend>
      <c:legendPos val="r"/>
      <c:overlay val="0"/>
      <c:spPr>
        <a:noFill/>
        <a:ln w="0">
          <a:noFill/>
        </a:ln>
      </c:spPr>
      <c:txPr>
        <a:bodyPr/>
        <a:lstStyle/>
        <a:p>
          <a:pPr>
            <a:defRPr b="0" sz="1000" spc="-1" strike="noStrike">
              <a:solidFill>
                <a:srgbClr val="1a1a1a"/>
              </a:solidFill>
              <a:latin typeface="Calibri"/>
              <a:ea typeface="Calibri"/>
            </a:defRPr>
          </a:pPr>
        </a:p>
      </c:txPr>
    </c:legend>
    <c:plotVisOnly val="1"/>
    <c:dispBlanksAs val="gap"/>
  </c:chart>
  <c:spPr>
    <a:solidFill>
      <a:srgbClr val="ffffff"/>
    </a:solidFill>
    <a:ln w="9360">
      <a:solidFill>
        <a:srgbClr val="d9d9d9"/>
      </a:solidFill>
      <a:round/>
    </a:ln>
  </c:spPr>
</c:chartSpace>
</file>

<file path=xl/drawings/_rels/drawing1.xml.rels><?xml version="1.0" encoding="UTF-8"?>
<Relationships xmlns="http://schemas.openxmlformats.org/package/2006/relationships"><Relationship Id="rId1" Type="http://schemas.openxmlformats.org/officeDocument/2006/relationships/chart" Target="../charts/chart1.xml"/>
</Relationships>
</file>

<file path=xl/drawings/_rels/drawing2.xml.rels><?xml version="1.0" encoding="UTF-8"?>
<Relationships xmlns="http://schemas.openxmlformats.org/package/2006/relationships"><Relationship Id="rId1" Type="http://schemas.openxmlformats.org/officeDocument/2006/relationships/chart" Target="../charts/chart2.xml"/>
</Relationships>
</file>

<file path=xl/drawings/_rels/drawing3.xml.rels><?xml version="1.0" encoding="UTF-8"?>
<Relationships xmlns="http://schemas.openxmlformats.org/package/2006/relationships"><Relationship Id="rId1" Type="http://schemas.openxmlformats.org/officeDocument/2006/relationships/chart" Target="../charts/chart3.xml"/>
</Relationships>
</file>

<file path=xl/drawings/_rels/drawing4.xml.rels><?xml version="1.0" encoding="UTF-8"?>
<Relationships xmlns="http://schemas.openxmlformats.org/package/2006/relationships"><Relationship Id="rId1" Type="http://schemas.openxmlformats.org/officeDocument/2006/relationships/chart" Target="../charts/chart4.xml"/>
</Relationships>
</file>

<file path=xl/drawings/_rels/drawing5.xml.rels><?xml version="1.0" encoding="UTF-8"?>
<Relationships xmlns="http://schemas.openxmlformats.org/package/2006/relationships"><Relationship Id="rId1" Type="http://schemas.openxmlformats.org/officeDocument/2006/relationships/chart" Target="../charts/chart5.xml"/>
</Relationships>
</file>

<file path=xl/drawings/_rels/drawing6.xml.rels><?xml version="1.0" encoding="UTF-8"?>
<Relationships xmlns="http://schemas.openxmlformats.org/package/2006/relationships"><Relationship Id="rId1" Type="http://schemas.openxmlformats.org/officeDocument/2006/relationships/chart" Target="../charts/chart6.xml"/>
</Relationships>
</file>

<file path=xl/drawings/_rels/drawing7.xml.rels><?xml version="1.0" encoding="UTF-8"?>
<Relationships xmlns="http://schemas.openxmlformats.org/package/2006/relationships"><Relationship Id="rId1" Type="http://schemas.openxmlformats.org/officeDocument/2006/relationships/chart" Target="../charts/chart7.xml"/>
</Relationships>
</file>

<file path=xl/drawings/_rels/drawing8.xml.rels><?xml version="1.0" encoding="UTF-8"?>
<Relationships xmlns="http://schemas.openxmlformats.org/package/2006/relationships"><Relationship Id="rId1" Type="http://schemas.openxmlformats.org/officeDocument/2006/relationships/chart" Target="../charts/chart8.xml"/>
</Relationships>
</file>

<file path=xl/drawings/_rels/drawing9.xml.rels><?xml version="1.0" encoding="UTF-8"?>
<Relationships xmlns="http://schemas.openxmlformats.org/package/2006/relationships"><Relationship Id="rId1" Type="http://schemas.openxmlformats.org/officeDocument/2006/relationships/chart" Target="../charts/chart9.xml"/>
</Relationships>
</file>

<file path=xl/drawings/_rels/drawing10.xml.rels><?xml version="1.0" encoding="UTF-8"?>
<Relationships xmlns="http://schemas.openxmlformats.org/package/2006/relationships"><Relationship Id="rId1" Type="http://schemas.openxmlformats.org/officeDocument/2006/relationships/chart" Target="../charts/chart10.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3</xdr:col>
      <xdr:colOff>0</xdr:colOff>
      <xdr:row>1</xdr:row>
      <xdr:rowOff>0</xdr:rowOff>
    </xdr:from>
    <xdr:to>
      <xdr:col>11</xdr:col>
      <xdr:colOff>476280</xdr:colOff>
      <xdr:row>17</xdr:row>
      <xdr:rowOff>187920</xdr:rowOff>
    </xdr:to>
    <xdr:graphicFrame>
      <xdr:nvGraphicFramePr>
        <xdr:cNvPr id="0" name="Chart 1"/>
        <xdr:cNvGraphicFramePr/>
      </xdr:nvGraphicFramePr>
      <xdr:xfrm>
        <a:off x="4229280" y="190440"/>
        <a:ext cx="11753640" cy="32360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3</xdr:col>
      <xdr:colOff>0</xdr:colOff>
      <xdr:row>1</xdr:row>
      <xdr:rowOff>0</xdr:rowOff>
    </xdr:from>
    <xdr:to>
      <xdr:col>11</xdr:col>
      <xdr:colOff>476280</xdr:colOff>
      <xdr:row>17</xdr:row>
      <xdr:rowOff>187920</xdr:rowOff>
    </xdr:to>
    <xdr:graphicFrame>
      <xdr:nvGraphicFramePr>
        <xdr:cNvPr id="1" name="Chart 1"/>
        <xdr:cNvGraphicFramePr/>
      </xdr:nvGraphicFramePr>
      <xdr:xfrm>
        <a:off x="4229280" y="190440"/>
        <a:ext cx="11753640" cy="32360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mlns:r="http://schemas.openxmlformats.org/officeDocument/2006/relationships">
  <xdr:twoCellAnchor editAs="oneCell">
    <xdr:from>
      <xdr:col>3</xdr:col>
      <xdr:colOff>0</xdr:colOff>
      <xdr:row>1</xdr:row>
      <xdr:rowOff>0</xdr:rowOff>
    </xdr:from>
    <xdr:to>
      <xdr:col>11</xdr:col>
      <xdr:colOff>476280</xdr:colOff>
      <xdr:row>17</xdr:row>
      <xdr:rowOff>187920</xdr:rowOff>
    </xdr:to>
    <xdr:graphicFrame>
      <xdr:nvGraphicFramePr>
        <xdr:cNvPr id="2" name="Chart 1"/>
        <xdr:cNvGraphicFramePr/>
      </xdr:nvGraphicFramePr>
      <xdr:xfrm>
        <a:off x="4229280" y="190440"/>
        <a:ext cx="11753640" cy="32360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mlns:r="http://schemas.openxmlformats.org/officeDocument/2006/relationships">
  <xdr:twoCellAnchor editAs="oneCell">
    <xdr:from>
      <xdr:col>3</xdr:col>
      <xdr:colOff>0</xdr:colOff>
      <xdr:row>1</xdr:row>
      <xdr:rowOff>0</xdr:rowOff>
    </xdr:from>
    <xdr:to>
      <xdr:col>11</xdr:col>
      <xdr:colOff>476280</xdr:colOff>
      <xdr:row>17</xdr:row>
      <xdr:rowOff>187920</xdr:rowOff>
    </xdr:to>
    <xdr:graphicFrame>
      <xdr:nvGraphicFramePr>
        <xdr:cNvPr id="3" name="Chart 1"/>
        <xdr:cNvGraphicFramePr/>
      </xdr:nvGraphicFramePr>
      <xdr:xfrm>
        <a:off x="4229280" y="190440"/>
        <a:ext cx="11753640" cy="32360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mlns:r="http://schemas.openxmlformats.org/officeDocument/2006/relationships">
  <xdr:twoCellAnchor editAs="oneCell">
    <xdr:from>
      <xdr:col>3</xdr:col>
      <xdr:colOff>0</xdr:colOff>
      <xdr:row>1</xdr:row>
      <xdr:rowOff>0</xdr:rowOff>
    </xdr:from>
    <xdr:to>
      <xdr:col>11</xdr:col>
      <xdr:colOff>476280</xdr:colOff>
      <xdr:row>17</xdr:row>
      <xdr:rowOff>187920</xdr:rowOff>
    </xdr:to>
    <xdr:graphicFrame>
      <xdr:nvGraphicFramePr>
        <xdr:cNvPr id="4" name="Chart 1"/>
        <xdr:cNvGraphicFramePr/>
      </xdr:nvGraphicFramePr>
      <xdr:xfrm>
        <a:off x="4229280" y="190440"/>
        <a:ext cx="11753640" cy="32360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mlns:r="http://schemas.openxmlformats.org/officeDocument/2006/relationships">
  <xdr:twoCellAnchor editAs="oneCell">
    <xdr:from>
      <xdr:col>3</xdr:col>
      <xdr:colOff>0</xdr:colOff>
      <xdr:row>1</xdr:row>
      <xdr:rowOff>0</xdr:rowOff>
    </xdr:from>
    <xdr:to>
      <xdr:col>12</xdr:col>
      <xdr:colOff>224280</xdr:colOff>
      <xdr:row>17</xdr:row>
      <xdr:rowOff>187920</xdr:rowOff>
    </xdr:to>
    <xdr:graphicFrame>
      <xdr:nvGraphicFramePr>
        <xdr:cNvPr id="5" name="Chart 1"/>
        <xdr:cNvGraphicFramePr/>
      </xdr:nvGraphicFramePr>
      <xdr:xfrm>
        <a:off x="1842120" y="190440"/>
        <a:ext cx="5750640" cy="32360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mlns:r="http://schemas.openxmlformats.org/officeDocument/2006/relationships">
  <xdr:twoCellAnchor editAs="oneCell">
    <xdr:from>
      <xdr:col>3</xdr:col>
      <xdr:colOff>0</xdr:colOff>
      <xdr:row>1</xdr:row>
      <xdr:rowOff>0</xdr:rowOff>
    </xdr:from>
    <xdr:to>
      <xdr:col>12</xdr:col>
      <xdr:colOff>224280</xdr:colOff>
      <xdr:row>17</xdr:row>
      <xdr:rowOff>187920</xdr:rowOff>
    </xdr:to>
    <xdr:graphicFrame>
      <xdr:nvGraphicFramePr>
        <xdr:cNvPr id="6" name="Chart 1"/>
        <xdr:cNvGraphicFramePr/>
      </xdr:nvGraphicFramePr>
      <xdr:xfrm>
        <a:off x="1842120" y="190440"/>
        <a:ext cx="5750640" cy="32360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mlns:r="http://schemas.openxmlformats.org/officeDocument/2006/relationships">
  <xdr:twoCellAnchor editAs="oneCell">
    <xdr:from>
      <xdr:col>3</xdr:col>
      <xdr:colOff>0</xdr:colOff>
      <xdr:row>1</xdr:row>
      <xdr:rowOff>0</xdr:rowOff>
    </xdr:from>
    <xdr:to>
      <xdr:col>12</xdr:col>
      <xdr:colOff>224280</xdr:colOff>
      <xdr:row>17</xdr:row>
      <xdr:rowOff>187920</xdr:rowOff>
    </xdr:to>
    <xdr:graphicFrame>
      <xdr:nvGraphicFramePr>
        <xdr:cNvPr id="7" name="Chart 1"/>
        <xdr:cNvGraphicFramePr/>
      </xdr:nvGraphicFramePr>
      <xdr:xfrm>
        <a:off x="1842120" y="190440"/>
        <a:ext cx="5750640" cy="32360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mlns:r="http://schemas.openxmlformats.org/officeDocument/2006/relationships">
  <xdr:twoCellAnchor editAs="oneCell">
    <xdr:from>
      <xdr:col>7</xdr:col>
      <xdr:colOff>0</xdr:colOff>
      <xdr:row>1</xdr:row>
      <xdr:rowOff>0</xdr:rowOff>
    </xdr:from>
    <xdr:to>
      <xdr:col>18</xdr:col>
      <xdr:colOff>434520</xdr:colOff>
      <xdr:row>19</xdr:row>
      <xdr:rowOff>159480</xdr:rowOff>
    </xdr:to>
    <xdr:graphicFrame>
      <xdr:nvGraphicFramePr>
        <xdr:cNvPr id="8" name="Chart 1"/>
        <xdr:cNvGraphicFramePr/>
      </xdr:nvGraphicFramePr>
      <xdr:xfrm>
        <a:off x="4298400" y="190440"/>
        <a:ext cx="7188840" cy="358848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0.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2</xdr:row>
      <xdr:rowOff>0</xdr:rowOff>
    </xdr:from>
    <xdr:to>
      <xdr:col>12</xdr:col>
      <xdr:colOff>544320</xdr:colOff>
      <xdr:row>24</xdr:row>
      <xdr:rowOff>83160</xdr:rowOff>
    </xdr:to>
    <xdr:graphicFrame>
      <xdr:nvGraphicFramePr>
        <xdr:cNvPr id="9" name="Chart 1"/>
        <xdr:cNvGraphicFramePr/>
      </xdr:nvGraphicFramePr>
      <xdr:xfrm>
        <a:off x="0" y="380880"/>
        <a:ext cx="7912800" cy="43124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pitchFamily="0" charset="1"/>
        <a:ea typeface="Calibri" pitchFamily="0" charset="1"/>
        <a:cs typeface="Calibri" pitchFamily="0" charset="1"/>
      </a:majorFont>
      <a:minorFont>
        <a:latin typeface="Calibri" pitchFamily="0" charset="1"/>
        <a:ea typeface="Calibri" pitchFamily="0" charset="1"/>
        <a:cs typeface="Calibri"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3.xml.rels><?xml version="1.0" encoding="UTF-8"?>
<Relationships xmlns="http://schemas.openxmlformats.org/package/2006/relationships"><Relationship Id="rId1" Type="http://schemas.openxmlformats.org/officeDocument/2006/relationships/drawing" Target="../drawings/drawing1.xml"/>
</Relationships>
</file>

<file path=xl/worksheets/_rels/sheet4.xml.rels><?xml version="1.0" encoding="UTF-8"?>
<Relationships xmlns="http://schemas.openxmlformats.org/package/2006/relationships"><Relationship Id="rId1" Type="http://schemas.openxmlformats.org/officeDocument/2006/relationships/drawing" Target="../drawings/drawing2.xml"/>
</Relationships>
</file>

<file path=xl/worksheets/_rels/sheet5.xml.rels><?xml version="1.0" encoding="UTF-8"?>
<Relationships xmlns="http://schemas.openxmlformats.org/package/2006/relationships"><Relationship Id="rId1" Type="http://schemas.openxmlformats.org/officeDocument/2006/relationships/drawing" Target="../drawings/drawing3.xml"/>
</Relationships>
</file>

<file path=xl/worksheets/_rels/sheet6.xml.rels><?xml version="1.0" encoding="UTF-8"?>
<Relationships xmlns="http://schemas.openxmlformats.org/package/2006/relationships"><Relationship Id="rId1" Type="http://schemas.openxmlformats.org/officeDocument/2006/relationships/drawing" Target="../drawings/drawing4.xml"/>
</Relationships>
</file>

<file path=xl/worksheets/_rels/sheet7.xml.rels><?xml version="1.0" encoding="UTF-8"?>
<Relationships xmlns="http://schemas.openxmlformats.org/package/2006/relationships"><Relationship Id="rId1" Type="http://schemas.openxmlformats.org/officeDocument/2006/relationships/drawing" Target="../drawings/drawing5.xml"/>
</Relationships>
</file>

<file path=xl/worksheets/_rels/sheet8.xml.rels><?xml version="1.0" encoding="UTF-8"?>
<Relationships xmlns="http://schemas.openxmlformats.org/package/2006/relationships"><Relationship Id="rId1" Type="http://schemas.openxmlformats.org/officeDocument/2006/relationships/drawing" Target="../drawings/drawing6.xml"/>
</Relationships>
</file>

<file path=xl/worksheets/_rels/sheet9.xml.rels><?xml version="1.0" encoding="UTF-8"?>
<Relationships xmlns="http://schemas.openxmlformats.org/package/2006/relationships"><Relationship Id="rId1" Type="http://schemas.openxmlformats.org/officeDocument/2006/relationships/drawing" Target="../drawings/drawing7.xml"/>
</Relationships>
</file>

<file path=xl/worksheets/_rels/sheet10.xml.rels><?xml version="1.0" encoding="UTF-8"?>
<Relationships xmlns="http://schemas.openxmlformats.org/package/2006/relationships"><Relationship Id="rId1" Type="http://schemas.openxmlformats.org/officeDocument/2006/relationships/drawing" Target="../drawings/drawing8.xml"/>
</Relationships>
</file>

<file path=xl/worksheets/_rels/sheet12.xml.rels><?xml version="1.0" encoding="UTF-8"?>
<Relationships xmlns="http://schemas.openxmlformats.org/package/2006/relationships"><Relationship Id="rId1" Type="http://schemas.openxmlformats.org/officeDocument/2006/relationships/drawing" Target="../drawings/drawing9.xml"/>
</Relationships>
</file>

<file path=xl/worksheets/_rels/sheet13.xml.rels><?xml version="1.0" encoding="UTF-8"?>
<Relationships xmlns="http://schemas.openxmlformats.org/package/2006/relationships"><Relationship Id="rId1" Type="http://schemas.openxmlformats.org/officeDocument/2006/relationships/drawing" Target="../drawings/drawing10.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1001"/>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14.43359375" defaultRowHeight="15" zeroHeight="false" outlineLevelRow="0" outlineLevelCol="0"/>
  <cols>
    <col collapsed="false" customWidth="true" hidden="false" outlineLevel="0" max="1" min="1" style="1" width="40"/>
    <col collapsed="false" customWidth="true" hidden="false" outlineLevel="0" max="9" min="2" style="1" width="18"/>
    <col collapsed="false" customWidth="true" hidden="false" outlineLevel="0" max="26" min="10" style="1" width="8.71"/>
  </cols>
  <sheetData>
    <row r="1" customFormat="false" ht="15" hidden="false" customHeight="true" outlineLevel="0" collapsed="false">
      <c r="A1" s="2" t="s">
        <v>0</v>
      </c>
      <c r="B1" s="2" t="s">
        <v>1</v>
      </c>
      <c r="C1" s="2" t="s">
        <v>2</v>
      </c>
      <c r="D1" s="2" t="s">
        <v>3</v>
      </c>
      <c r="E1" s="2" t="s">
        <v>4</v>
      </c>
      <c r="F1" s="2" t="s">
        <v>5</v>
      </c>
      <c r="G1" s="2" t="s">
        <v>6</v>
      </c>
      <c r="H1" s="2" t="s">
        <v>7</v>
      </c>
      <c r="I1" s="2" t="s">
        <v>8</v>
      </c>
      <c r="K1" s="3" t="s">
        <v>9</v>
      </c>
      <c r="L1" s="4" t="s">
        <v>10</v>
      </c>
    </row>
    <row r="2" customFormat="false" ht="15" hidden="false" customHeight="true" outlineLevel="0" collapsed="false">
      <c r="A2" s="1" t="s">
        <v>11</v>
      </c>
      <c r="B2" s="1" t="s">
        <v>12</v>
      </c>
      <c r="C2" s="1" t="s">
        <v>13</v>
      </c>
      <c r="D2" s="1" t="s">
        <v>14</v>
      </c>
      <c r="E2" s="1" t="n">
        <v>565</v>
      </c>
      <c r="F2" s="1" t="n">
        <v>567</v>
      </c>
      <c r="G2" s="1" t="n">
        <v>43</v>
      </c>
      <c r="H2" s="1" t="n">
        <v>95.8</v>
      </c>
      <c r="I2" s="1" t="n">
        <v>290</v>
      </c>
    </row>
    <row r="3" customFormat="false" ht="15" hidden="false" customHeight="true" outlineLevel="0" collapsed="false">
      <c r="A3" s="1" t="s">
        <v>15</v>
      </c>
      <c r="B3" s="1" t="s">
        <v>12</v>
      </c>
      <c r="C3" s="1" t="s">
        <v>13</v>
      </c>
      <c r="D3" s="1" t="s">
        <v>14</v>
      </c>
      <c r="E3" s="1" t="n">
        <v>539</v>
      </c>
      <c r="F3" s="1" t="n">
        <v>541</v>
      </c>
      <c r="G3" s="1" t="n">
        <v>53</v>
      </c>
      <c r="H3" s="1" t="n">
        <v>95.4</v>
      </c>
      <c r="I3" s="1" t="n">
        <v>260</v>
      </c>
    </row>
    <row r="4" customFormat="false" ht="15" hidden="false" customHeight="true" outlineLevel="0" collapsed="false">
      <c r="A4" s="1" t="s">
        <v>16</v>
      </c>
      <c r="B4" s="1" t="s">
        <v>17</v>
      </c>
      <c r="C4" s="1" t="s">
        <v>13</v>
      </c>
      <c r="D4" s="1" t="s">
        <v>18</v>
      </c>
      <c r="E4" s="1" t="n">
        <v>520</v>
      </c>
      <c r="F4" s="1" t="n">
        <v>533</v>
      </c>
      <c r="G4" s="1" t="n">
        <v>97.5</v>
      </c>
      <c r="H4" s="1" t="n">
        <v>95</v>
      </c>
      <c r="I4" s="1" t="n">
        <v>10</v>
      </c>
    </row>
    <row r="5" customFormat="false" ht="15" hidden="false" customHeight="true" outlineLevel="0" collapsed="false">
      <c r="A5" s="1" t="s">
        <v>19</v>
      </c>
      <c r="B5" s="1" t="s">
        <v>20</v>
      </c>
      <c r="C5" s="1" t="s">
        <v>21</v>
      </c>
      <c r="D5" s="1" t="s">
        <v>18</v>
      </c>
      <c r="E5" s="1" t="n">
        <v>1659</v>
      </c>
      <c r="F5" s="1" t="n">
        <v>38503</v>
      </c>
      <c r="G5" s="1" t="n">
        <v>63.8</v>
      </c>
      <c r="H5" s="1" t="n">
        <v>713.9</v>
      </c>
    </row>
    <row r="6" customFormat="false" ht="15" hidden="false" customHeight="true" outlineLevel="0" collapsed="false">
      <c r="A6" s="1" t="s">
        <v>22</v>
      </c>
      <c r="B6" s="1" t="s">
        <v>23</v>
      </c>
      <c r="C6" s="1" t="s">
        <v>13</v>
      </c>
      <c r="D6" s="1" t="s">
        <v>14</v>
      </c>
      <c r="E6" s="1" t="n">
        <v>600</v>
      </c>
      <c r="F6" s="1" t="n">
        <v>610</v>
      </c>
      <c r="G6" s="1" t="n">
        <v>87.4</v>
      </c>
      <c r="H6" s="1" t="n">
        <v>96.75</v>
      </c>
      <c r="I6" s="1" t="n">
        <v>148</v>
      </c>
    </row>
    <row r="7" customFormat="false" ht="15" hidden="false" customHeight="true" outlineLevel="0" collapsed="false">
      <c r="A7" s="1" t="s">
        <v>24</v>
      </c>
      <c r="B7" s="1" t="s">
        <v>23</v>
      </c>
      <c r="C7" s="1" t="s">
        <v>13</v>
      </c>
      <c r="D7" s="1" t="s">
        <v>14</v>
      </c>
      <c r="E7" s="1" t="n">
        <v>733</v>
      </c>
      <c r="F7" s="1" t="n">
        <v>738</v>
      </c>
      <c r="G7" s="1" t="n">
        <v>87.1</v>
      </c>
      <c r="H7" s="1" t="n">
        <v>99.4</v>
      </c>
      <c r="I7" s="1" t="n">
        <v>148</v>
      </c>
    </row>
    <row r="8" customFormat="false" ht="15" hidden="false" customHeight="true" outlineLevel="0" collapsed="false">
      <c r="A8" s="1" t="s">
        <v>25</v>
      </c>
      <c r="B8" s="1" t="s">
        <v>23</v>
      </c>
      <c r="C8" s="1" t="s">
        <v>13</v>
      </c>
      <c r="D8" s="1" t="s">
        <v>14</v>
      </c>
      <c r="E8" s="1" t="n">
        <v>600</v>
      </c>
      <c r="F8" s="1" t="n">
        <v>610</v>
      </c>
      <c r="G8" s="1" t="n">
        <v>87.4</v>
      </c>
      <c r="H8" s="1" t="n">
        <v>96.75</v>
      </c>
      <c r="I8" s="1" t="n">
        <v>148</v>
      </c>
    </row>
    <row r="9" customFormat="false" ht="15" hidden="false" customHeight="true" outlineLevel="0" collapsed="false">
      <c r="A9" s="1" t="s">
        <v>26</v>
      </c>
      <c r="B9" s="1" t="s">
        <v>12</v>
      </c>
      <c r="C9" s="1" t="s">
        <v>13</v>
      </c>
      <c r="D9" s="1" t="s">
        <v>14</v>
      </c>
      <c r="E9" s="1" t="n">
        <v>562</v>
      </c>
      <c r="F9" s="1" t="n">
        <v>564</v>
      </c>
      <c r="G9" s="1" t="n">
        <v>53.2</v>
      </c>
      <c r="H9" s="1" t="n">
        <v>95.9</v>
      </c>
      <c r="I9" s="1" t="n">
        <v>260</v>
      </c>
    </row>
    <row r="10" customFormat="false" ht="15" hidden="false" customHeight="true" outlineLevel="0" collapsed="false">
      <c r="A10" s="1" t="s">
        <v>27</v>
      </c>
      <c r="B10" s="1" t="s">
        <v>12</v>
      </c>
      <c r="C10" s="1" t="s">
        <v>21</v>
      </c>
      <c r="D10" s="1" t="s">
        <v>14</v>
      </c>
      <c r="E10" s="1" t="n">
        <v>1200</v>
      </c>
      <c r="F10" s="1" t="n">
        <v>11600</v>
      </c>
      <c r="G10" s="1" t="n">
        <v>63.4</v>
      </c>
      <c r="H10" s="1" t="n">
        <v>240</v>
      </c>
    </row>
    <row r="11" customFormat="false" ht="15" hidden="false" customHeight="true" outlineLevel="0" collapsed="false">
      <c r="A11" s="1" t="s">
        <v>28</v>
      </c>
      <c r="B11" s="1" t="s">
        <v>29</v>
      </c>
      <c r="C11" s="1" t="s">
        <v>13</v>
      </c>
      <c r="D11" s="1" t="s">
        <v>18</v>
      </c>
      <c r="E11" s="1" t="n">
        <v>562</v>
      </c>
      <c r="F11" s="1" t="n">
        <v>575</v>
      </c>
      <c r="G11" s="1" t="n">
        <v>36.9</v>
      </c>
      <c r="H11" s="1" t="n">
        <v>96.1</v>
      </c>
    </row>
    <row r="12" customFormat="false" ht="15" hidden="false" customHeight="true" outlineLevel="0" collapsed="false">
      <c r="A12" s="1" t="s">
        <v>30</v>
      </c>
      <c r="B12" s="1" t="s">
        <v>23</v>
      </c>
      <c r="C12" s="1" t="s">
        <v>13</v>
      </c>
      <c r="D12" s="1" t="s">
        <v>14</v>
      </c>
      <c r="E12" s="1" t="n">
        <v>590</v>
      </c>
      <c r="F12" s="1" t="n">
        <v>600</v>
      </c>
      <c r="G12" s="1" t="n">
        <v>87.4</v>
      </c>
      <c r="H12" s="1" t="n">
        <v>96.4</v>
      </c>
      <c r="I12" s="1" t="n">
        <v>148</v>
      </c>
    </row>
    <row r="13" customFormat="false" ht="15" hidden="false" customHeight="true" outlineLevel="0" collapsed="false">
      <c r="A13" s="1" t="s">
        <v>31</v>
      </c>
      <c r="B13" s="1" t="s">
        <v>12</v>
      </c>
      <c r="C13" s="1" t="s">
        <v>13</v>
      </c>
      <c r="D13" s="1" t="s">
        <v>14</v>
      </c>
      <c r="E13" s="1" t="n">
        <v>580</v>
      </c>
      <c r="F13" s="1" t="n">
        <v>583</v>
      </c>
      <c r="G13" s="1" t="n">
        <v>70</v>
      </c>
      <c r="H13" s="1" t="n">
        <v>96.2</v>
      </c>
      <c r="I13" s="1" t="n">
        <v>290</v>
      </c>
    </row>
    <row r="14" customFormat="false" ht="15" hidden="false" customHeight="true" outlineLevel="0" collapsed="false">
      <c r="A14" s="1" t="s">
        <v>32</v>
      </c>
      <c r="B14" s="1" t="s">
        <v>12</v>
      </c>
      <c r="C14" s="1" t="s">
        <v>13</v>
      </c>
      <c r="D14" s="1" t="s">
        <v>14</v>
      </c>
      <c r="E14" s="1" t="n">
        <v>550</v>
      </c>
      <c r="F14" s="1" t="n">
        <v>551</v>
      </c>
      <c r="G14" s="1" t="n">
        <v>53.1</v>
      </c>
      <c r="H14" s="1" t="n">
        <v>95.6</v>
      </c>
      <c r="I14" s="1" t="n">
        <v>227</v>
      </c>
    </row>
    <row r="15" customFormat="false" ht="15" hidden="false" customHeight="true" outlineLevel="0" collapsed="false">
      <c r="A15" s="1" t="s">
        <v>33</v>
      </c>
      <c r="B15" s="1" t="s">
        <v>12</v>
      </c>
      <c r="C15" s="1" t="s">
        <v>13</v>
      </c>
      <c r="D15" s="1" t="s">
        <v>14</v>
      </c>
      <c r="E15" s="1" t="n">
        <v>538</v>
      </c>
      <c r="F15" s="1" t="n">
        <v>541</v>
      </c>
      <c r="G15" s="1" t="n">
        <v>53.2</v>
      </c>
      <c r="H15" s="1" t="n">
        <v>95.4</v>
      </c>
      <c r="I15" s="1" t="n">
        <v>260</v>
      </c>
    </row>
    <row r="16" customFormat="false" ht="15" hidden="false" customHeight="true" outlineLevel="0" collapsed="false">
      <c r="A16" s="1" t="s">
        <v>34</v>
      </c>
      <c r="B16" s="1" t="s">
        <v>12</v>
      </c>
      <c r="C16" s="1" t="s">
        <v>13</v>
      </c>
      <c r="D16" s="1" t="s">
        <v>14</v>
      </c>
      <c r="E16" s="1" t="n">
        <v>548</v>
      </c>
      <c r="F16" s="1" t="n">
        <v>561</v>
      </c>
      <c r="G16" s="1" t="n">
        <v>53</v>
      </c>
      <c r="H16" s="1" t="n">
        <v>95.6</v>
      </c>
      <c r="I16" s="1" t="n">
        <v>260</v>
      </c>
    </row>
    <row r="17" customFormat="false" ht="15" hidden="false" customHeight="true" outlineLevel="0" collapsed="false">
      <c r="A17" s="1" t="s">
        <v>35</v>
      </c>
      <c r="B17" s="1" t="s">
        <v>36</v>
      </c>
      <c r="C17" s="1" t="s">
        <v>37</v>
      </c>
      <c r="D17" s="1" t="s">
        <v>38</v>
      </c>
      <c r="E17" s="1" t="n">
        <v>35700</v>
      </c>
      <c r="F17" s="1" t="n">
        <v>35874</v>
      </c>
      <c r="G17" s="1" t="n">
        <v>5.09</v>
      </c>
      <c r="H17" s="1" t="n">
        <v>1436.13</v>
      </c>
      <c r="I17" s="1" t="n">
        <v>1425</v>
      </c>
    </row>
    <row r="18" customFormat="false" ht="15" hidden="false" customHeight="true" outlineLevel="0" collapsed="false">
      <c r="A18" s="1" t="s">
        <v>39</v>
      </c>
      <c r="B18" s="1" t="s">
        <v>12</v>
      </c>
      <c r="C18" s="1" t="s">
        <v>13</v>
      </c>
      <c r="D18" s="1" t="s">
        <v>14</v>
      </c>
      <c r="E18" s="1" t="n">
        <v>548</v>
      </c>
      <c r="F18" s="1" t="n">
        <v>561</v>
      </c>
      <c r="G18" s="1" t="n">
        <v>53</v>
      </c>
      <c r="H18" s="1" t="n">
        <v>95.6</v>
      </c>
      <c r="I18" s="1" t="n">
        <v>260</v>
      </c>
    </row>
    <row r="19" customFormat="false" ht="15" hidden="false" customHeight="true" outlineLevel="0" collapsed="false">
      <c r="A19" s="1" t="s">
        <v>40</v>
      </c>
      <c r="B19" s="1" t="s">
        <v>12</v>
      </c>
      <c r="C19" s="1" t="s">
        <v>13</v>
      </c>
      <c r="D19" s="1" t="s">
        <v>14</v>
      </c>
      <c r="E19" s="1" t="n">
        <v>539</v>
      </c>
      <c r="F19" s="1" t="n">
        <v>541</v>
      </c>
      <c r="G19" s="1" t="n">
        <v>53</v>
      </c>
      <c r="H19" s="1" t="n">
        <v>95.4</v>
      </c>
      <c r="I19" s="1" t="n">
        <v>260</v>
      </c>
    </row>
    <row r="20" customFormat="false" ht="15" hidden="false" customHeight="true" outlineLevel="0" collapsed="false">
      <c r="A20" s="1" t="s">
        <v>41</v>
      </c>
      <c r="B20" s="1" t="s">
        <v>12</v>
      </c>
      <c r="C20" s="1" t="s">
        <v>13</v>
      </c>
      <c r="D20" s="1" t="s">
        <v>14</v>
      </c>
      <c r="E20" s="1" t="n">
        <v>548</v>
      </c>
      <c r="F20" s="1" t="n">
        <v>561</v>
      </c>
      <c r="G20" s="1" t="n">
        <v>53</v>
      </c>
      <c r="H20" s="1" t="n">
        <v>95.6</v>
      </c>
      <c r="I20" s="1" t="n">
        <v>260</v>
      </c>
    </row>
    <row r="21" customFormat="false" ht="15.75" hidden="false" customHeight="true" outlineLevel="0" collapsed="false">
      <c r="A21" s="1" t="s">
        <v>42</v>
      </c>
      <c r="B21" s="1" t="s">
        <v>12</v>
      </c>
      <c r="C21" s="1" t="s">
        <v>13</v>
      </c>
      <c r="D21" s="1" t="s">
        <v>14</v>
      </c>
      <c r="E21" s="1" t="n">
        <v>1412</v>
      </c>
      <c r="F21" s="1" t="n">
        <v>1416</v>
      </c>
      <c r="G21" s="1" t="n">
        <v>52</v>
      </c>
      <c r="H21" s="1" t="n">
        <v>114.1</v>
      </c>
      <c r="I21" s="1" t="n">
        <v>450</v>
      </c>
    </row>
    <row r="22" customFormat="false" ht="15.75" hidden="false" customHeight="true" outlineLevel="0" collapsed="false">
      <c r="A22" s="1" t="s">
        <v>43</v>
      </c>
      <c r="B22" s="1" t="s">
        <v>12</v>
      </c>
      <c r="C22" s="1" t="s">
        <v>21</v>
      </c>
      <c r="D22" s="1" t="s">
        <v>14</v>
      </c>
      <c r="E22" s="1" t="n">
        <v>35780</v>
      </c>
      <c r="F22" s="1" t="n">
        <v>35780</v>
      </c>
      <c r="G22" s="1" t="n">
        <v>0</v>
      </c>
      <c r="H22" s="1" t="n">
        <v>1436</v>
      </c>
      <c r="I22" s="1" t="n">
        <v>6169</v>
      </c>
    </row>
    <row r="23" customFormat="false" ht="15.75" hidden="false" customHeight="true" outlineLevel="0" collapsed="false">
      <c r="A23" s="1" t="s">
        <v>44</v>
      </c>
      <c r="B23" s="1" t="s">
        <v>12</v>
      </c>
      <c r="C23" s="1" t="s">
        <v>13</v>
      </c>
      <c r="D23" s="1" t="s">
        <v>14</v>
      </c>
      <c r="E23" s="1" t="n">
        <v>260</v>
      </c>
      <c r="F23" s="1" t="n">
        <v>280</v>
      </c>
      <c r="G23" s="1" t="n">
        <v>53</v>
      </c>
      <c r="H23" s="1" t="n">
        <v>95.6</v>
      </c>
      <c r="I23" s="1" t="n">
        <v>260</v>
      </c>
    </row>
    <row r="24" customFormat="false" ht="15.75" hidden="false" customHeight="true" outlineLevel="0" collapsed="false">
      <c r="A24" s="1" t="s">
        <v>45</v>
      </c>
      <c r="B24" s="1" t="s">
        <v>12</v>
      </c>
      <c r="C24" s="1" t="s">
        <v>13</v>
      </c>
      <c r="D24" s="1" t="s">
        <v>14</v>
      </c>
      <c r="E24" s="1" t="n">
        <v>258</v>
      </c>
      <c r="F24" s="1" t="n">
        <v>280</v>
      </c>
      <c r="G24" s="1" t="n">
        <v>53</v>
      </c>
      <c r="H24" s="1" t="n">
        <v>95.6</v>
      </c>
      <c r="I24" s="1" t="n">
        <v>260</v>
      </c>
    </row>
    <row r="25" customFormat="false" ht="15.75" hidden="false" customHeight="true" outlineLevel="0" collapsed="false">
      <c r="A25" s="1" t="s">
        <v>46</v>
      </c>
      <c r="B25" s="1" t="s">
        <v>12</v>
      </c>
      <c r="C25" s="1" t="s">
        <v>47</v>
      </c>
      <c r="D25" s="1" t="s">
        <v>48</v>
      </c>
      <c r="E25" s="1" t="n">
        <v>20133</v>
      </c>
      <c r="F25" s="1" t="n">
        <v>20234</v>
      </c>
      <c r="G25" s="1" t="n">
        <v>54.9</v>
      </c>
      <c r="H25" s="1" t="n">
        <v>718.03</v>
      </c>
      <c r="I25" s="1" t="n">
        <v>2217</v>
      </c>
    </row>
    <row r="26" customFormat="false" ht="15.75" hidden="false" customHeight="true" outlineLevel="0" collapsed="false">
      <c r="A26" s="1" t="s">
        <v>49</v>
      </c>
      <c r="B26" s="1" t="s">
        <v>12</v>
      </c>
      <c r="C26" s="1" t="s">
        <v>13</v>
      </c>
      <c r="D26" s="1" t="s">
        <v>14</v>
      </c>
      <c r="E26" s="1" t="n">
        <v>379</v>
      </c>
      <c r="F26" s="1" t="n">
        <v>381</v>
      </c>
      <c r="G26" s="1" t="n">
        <v>53</v>
      </c>
      <c r="H26" s="1" t="n">
        <v>95.6</v>
      </c>
      <c r="I26" s="1" t="n">
        <v>227</v>
      </c>
    </row>
    <row r="27" customFormat="false" ht="15.75" hidden="false" customHeight="true" outlineLevel="0" collapsed="false">
      <c r="A27" s="1" t="s">
        <v>50</v>
      </c>
      <c r="B27" s="1" t="s">
        <v>12</v>
      </c>
      <c r="C27" s="1" t="s">
        <v>13</v>
      </c>
      <c r="D27" s="1" t="s">
        <v>14</v>
      </c>
      <c r="E27" s="1" t="n">
        <v>539</v>
      </c>
      <c r="F27" s="1" t="n">
        <v>541</v>
      </c>
      <c r="G27" s="1" t="n">
        <v>53</v>
      </c>
      <c r="H27" s="1" t="n">
        <v>95.4</v>
      </c>
      <c r="I27" s="1" t="n">
        <v>260</v>
      </c>
    </row>
    <row r="28" customFormat="false" ht="15.75" hidden="false" customHeight="true" outlineLevel="0" collapsed="false">
      <c r="A28" s="1" t="s">
        <v>51</v>
      </c>
      <c r="B28" s="1" t="s">
        <v>52</v>
      </c>
      <c r="C28" s="1" t="s">
        <v>13</v>
      </c>
      <c r="D28" s="1" t="s">
        <v>18</v>
      </c>
      <c r="E28" s="1" t="n">
        <v>486</v>
      </c>
      <c r="F28" s="1" t="n">
        <v>503</v>
      </c>
      <c r="G28" s="1" t="n">
        <v>97.47</v>
      </c>
      <c r="H28" s="1" t="n">
        <v>94.5</v>
      </c>
      <c r="I28" s="1" t="n">
        <v>540</v>
      </c>
    </row>
    <row r="29" customFormat="false" ht="15.75" hidden="false" customHeight="true" outlineLevel="0" collapsed="false">
      <c r="A29" s="1" t="s">
        <v>53</v>
      </c>
      <c r="B29" s="1" t="s">
        <v>12</v>
      </c>
      <c r="C29" s="1" t="s">
        <v>13</v>
      </c>
      <c r="D29" s="1" t="s">
        <v>14</v>
      </c>
      <c r="E29" s="1" t="n">
        <v>348</v>
      </c>
      <c r="F29" s="1" t="n">
        <v>351</v>
      </c>
      <c r="G29" s="1" t="n">
        <v>53.2</v>
      </c>
      <c r="H29" s="1" t="n">
        <v>91.5</v>
      </c>
      <c r="I29" s="1" t="n">
        <v>260</v>
      </c>
    </row>
    <row r="30" customFormat="false" ht="15.75" hidden="false" customHeight="true" outlineLevel="0" collapsed="false">
      <c r="A30" s="1" t="s">
        <v>54</v>
      </c>
      <c r="B30" s="1" t="s">
        <v>12</v>
      </c>
      <c r="C30" s="1" t="s">
        <v>13</v>
      </c>
      <c r="D30" s="1" t="s">
        <v>14</v>
      </c>
      <c r="E30" s="1" t="n">
        <v>577</v>
      </c>
      <c r="F30" s="1" t="n">
        <v>581</v>
      </c>
      <c r="G30" s="1" t="n">
        <v>70</v>
      </c>
      <c r="H30" s="1" t="n">
        <v>96.1</v>
      </c>
      <c r="I30" s="1" t="n">
        <v>290</v>
      </c>
    </row>
    <row r="31" customFormat="false" ht="15.75" hidden="false" customHeight="true" outlineLevel="0" collapsed="false">
      <c r="A31" s="1" t="s">
        <v>55</v>
      </c>
      <c r="B31" s="1" t="s">
        <v>56</v>
      </c>
      <c r="C31" s="1" t="s">
        <v>57</v>
      </c>
      <c r="D31" s="1" t="s">
        <v>58</v>
      </c>
      <c r="E31" s="1" t="n">
        <v>586</v>
      </c>
      <c r="F31" s="1" t="n">
        <v>602</v>
      </c>
      <c r="G31" s="1" t="n">
        <v>97.7</v>
      </c>
      <c r="H31" s="1" t="n">
        <v>96.5</v>
      </c>
      <c r="I31" s="1" t="n">
        <v>9</v>
      </c>
    </row>
    <row r="32" customFormat="false" ht="15.75" hidden="false" customHeight="true" outlineLevel="0" collapsed="false">
      <c r="A32" s="1" t="s">
        <v>59</v>
      </c>
      <c r="B32" s="1" t="s">
        <v>60</v>
      </c>
      <c r="C32" s="1" t="s">
        <v>13</v>
      </c>
      <c r="D32" s="1" t="s">
        <v>18</v>
      </c>
      <c r="E32" s="1" t="n">
        <v>696</v>
      </c>
      <c r="F32" s="1" t="n">
        <v>699</v>
      </c>
      <c r="G32" s="1" t="n">
        <v>98.2</v>
      </c>
      <c r="H32" s="1" t="n">
        <v>98.73</v>
      </c>
      <c r="I32" s="1" t="n">
        <v>720</v>
      </c>
    </row>
    <row r="33" customFormat="false" ht="15.75" hidden="false" customHeight="true" outlineLevel="0" collapsed="false">
      <c r="A33" s="1" t="s">
        <v>61</v>
      </c>
      <c r="B33" s="1" t="s">
        <v>12</v>
      </c>
      <c r="C33" s="1" t="s">
        <v>47</v>
      </c>
      <c r="D33" s="1" t="s">
        <v>48</v>
      </c>
      <c r="E33" s="1" t="n">
        <v>20155</v>
      </c>
      <c r="F33" s="1" t="n">
        <v>20344</v>
      </c>
      <c r="G33" s="1" t="n">
        <v>55</v>
      </c>
      <c r="H33" s="1" t="n">
        <v>720.71</v>
      </c>
      <c r="I33" s="1" t="n">
        <v>2217</v>
      </c>
    </row>
    <row r="34" customFormat="false" ht="15.75" hidden="false" customHeight="true" outlineLevel="0" collapsed="false">
      <c r="A34" s="1" t="s">
        <v>62</v>
      </c>
      <c r="B34" s="1" t="s">
        <v>63</v>
      </c>
      <c r="C34" s="1" t="s">
        <v>64</v>
      </c>
      <c r="D34" s="1" t="s">
        <v>18</v>
      </c>
      <c r="E34" s="1" t="n">
        <v>35784</v>
      </c>
      <c r="F34" s="1" t="n">
        <v>35791</v>
      </c>
      <c r="G34" s="1" t="n">
        <v>1.8</v>
      </c>
      <c r="H34" s="1" t="n">
        <v>1436.15</v>
      </c>
      <c r="I34" s="1" t="n">
        <v>2000</v>
      </c>
    </row>
    <row r="35" customFormat="false" ht="15.75" hidden="false" customHeight="true" outlineLevel="0" collapsed="false">
      <c r="A35" s="1" t="s">
        <v>65</v>
      </c>
      <c r="B35" s="1" t="s">
        <v>23</v>
      </c>
      <c r="C35" s="1" t="s">
        <v>13</v>
      </c>
      <c r="D35" s="1" t="s">
        <v>14</v>
      </c>
      <c r="E35" s="1" t="n">
        <v>8063</v>
      </c>
      <c r="F35" s="1" t="n">
        <v>8069</v>
      </c>
      <c r="G35" s="1" t="n">
        <v>0.04</v>
      </c>
      <c r="H35" s="1" t="n">
        <v>287.93</v>
      </c>
      <c r="I35" s="1" t="n">
        <v>650</v>
      </c>
    </row>
    <row r="36" customFormat="false" ht="15.75" hidden="false" customHeight="true" outlineLevel="0" collapsed="false">
      <c r="A36" s="1" t="s">
        <v>66</v>
      </c>
      <c r="B36" s="1" t="s">
        <v>12</v>
      </c>
      <c r="C36" s="1" t="s">
        <v>13</v>
      </c>
      <c r="D36" s="1" t="s">
        <v>14</v>
      </c>
      <c r="E36" s="1" t="n">
        <v>348</v>
      </c>
      <c r="F36" s="1" t="n">
        <v>351</v>
      </c>
      <c r="G36" s="1" t="n">
        <v>53.2</v>
      </c>
      <c r="H36" s="1" t="n">
        <v>91.5</v>
      </c>
      <c r="I36" s="1" t="n">
        <v>260</v>
      </c>
    </row>
    <row r="37" customFormat="false" ht="15.75" hidden="false" customHeight="true" outlineLevel="0" collapsed="false">
      <c r="A37" s="1" t="s">
        <v>67</v>
      </c>
      <c r="B37" s="1" t="s">
        <v>12</v>
      </c>
      <c r="C37" s="1" t="s">
        <v>13</v>
      </c>
      <c r="D37" s="1" t="s">
        <v>14</v>
      </c>
      <c r="E37" s="1" t="n">
        <v>35773</v>
      </c>
      <c r="F37" s="1" t="n">
        <v>35799</v>
      </c>
      <c r="G37" s="1" t="n">
        <v>7.35</v>
      </c>
      <c r="H37" s="1" t="n">
        <v>1436.1</v>
      </c>
      <c r="I37" s="1" t="n">
        <v>6900</v>
      </c>
    </row>
    <row r="38" customFormat="false" ht="15.75" hidden="false" customHeight="true" outlineLevel="0" collapsed="false">
      <c r="A38" s="1" t="s">
        <v>68</v>
      </c>
      <c r="B38" s="1" t="s">
        <v>12</v>
      </c>
      <c r="C38" s="1" t="s">
        <v>13</v>
      </c>
      <c r="D38" s="1" t="s">
        <v>14</v>
      </c>
      <c r="E38" s="1" t="n">
        <v>565</v>
      </c>
      <c r="F38" s="1" t="n">
        <v>567</v>
      </c>
      <c r="G38" s="1" t="n">
        <v>43</v>
      </c>
      <c r="H38" s="1" t="n">
        <v>95.8</v>
      </c>
      <c r="I38" s="1" t="n">
        <v>290</v>
      </c>
    </row>
    <row r="39" customFormat="false" ht="15.75" hidden="false" customHeight="true" outlineLevel="0" collapsed="false">
      <c r="A39" s="1" t="s">
        <v>69</v>
      </c>
      <c r="B39" s="1" t="s">
        <v>12</v>
      </c>
      <c r="C39" s="1" t="s">
        <v>13</v>
      </c>
      <c r="D39" s="1" t="s">
        <v>14</v>
      </c>
      <c r="E39" s="1" t="n">
        <v>548</v>
      </c>
      <c r="F39" s="1" t="n">
        <v>561</v>
      </c>
      <c r="G39" s="1" t="n">
        <v>53</v>
      </c>
      <c r="H39" s="1" t="n">
        <v>95.6</v>
      </c>
      <c r="I39" s="1" t="n">
        <v>260</v>
      </c>
    </row>
    <row r="40" customFormat="false" ht="15.75" hidden="false" customHeight="true" outlineLevel="0" collapsed="false">
      <c r="A40" s="1" t="s">
        <v>70</v>
      </c>
      <c r="B40" s="1" t="s">
        <v>71</v>
      </c>
      <c r="C40" s="1" t="s">
        <v>37</v>
      </c>
      <c r="D40" s="1" t="s">
        <v>18</v>
      </c>
      <c r="E40" s="1" t="n">
        <v>500</v>
      </c>
      <c r="F40" s="1" t="n">
        <v>500</v>
      </c>
      <c r="G40" s="1" t="n">
        <v>97.3</v>
      </c>
      <c r="H40" s="1" t="n">
        <v>94.6</v>
      </c>
      <c r="I40" s="1" t="n">
        <v>1600</v>
      </c>
    </row>
    <row r="41" customFormat="false" ht="15.75" hidden="false" customHeight="true" outlineLevel="0" collapsed="false">
      <c r="A41" s="1" t="s">
        <v>72</v>
      </c>
      <c r="B41" s="1" t="s">
        <v>12</v>
      </c>
      <c r="C41" s="1" t="s">
        <v>37</v>
      </c>
      <c r="D41" s="1" t="s">
        <v>18</v>
      </c>
      <c r="E41" s="1" t="n">
        <v>35790</v>
      </c>
      <c r="F41" s="1" t="n">
        <v>35795</v>
      </c>
      <c r="G41" s="1" t="n">
        <v>0</v>
      </c>
      <c r="H41" s="1" t="n">
        <v>1436.1</v>
      </c>
      <c r="I41" s="1" t="n">
        <v>5192</v>
      </c>
    </row>
    <row r="42" customFormat="false" ht="15.75" hidden="false" customHeight="true" outlineLevel="0" collapsed="false">
      <c r="A42" s="1" t="s">
        <v>73</v>
      </c>
      <c r="B42" s="1" t="s">
        <v>12</v>
      </c>
      <c r="C42" s="1" t="s">
        <v>13</v>
      </c>
      <c r="D42" s="1" t="s">
        <v>14</v>
      </c>
      <c r="E42" s="1" t="n">
        <v>538</v>
      </c>
      <c r="F42" s="1" t="n">
        <v>541</v>
      </c>
      <c r="G42" s="1" t="n">
        <v>53.2</v>
      </c>
      <c r="H42" s="1" t="n">
        <v>95.4</v>
      </c>
      <c r="I42" s="1" t="n">
        <v>260</v>
      </c>
    </row>
    <row r="43" customFormat="false" ht="15.75" hidden="false" customHeight="true" outlineLevel="0" collapsed="false">
      <c r="A43" s="1" t="s">
        <v>74</v>
      </c>
      <c r="B43" s="1" t="s">
        <v>12</v>
      </c>
      <c r="C43" s="1" t="s">
        <v>13</v>
      </c>
      <c r="D43" s="1" t="s">
        <v>14</v>
      </c>
      <c r="E43" s="1" t="n">
        <v>358</v>
      </c>
      <c r="F43" s="1" t="n">
        <v>362</v>
      </c>
      <c r="G43" s="1" t="n">
        <v>70</v>
      </c>
      <c r="H43" s="1" t="n">
        <v>91.8</v>
      </c>
      <c r="I43" s="1" t="n">
        <v>260</v>
      </c>
    </row>
    <row r="44" customFormat="false" ht="15.75" hidden="false" customHeight="true" outlineLevel="0" collapsed="false">
      <c r="A44" s="1" t="s">
        <v>75</v>
      </c>
      <c r="B44" s="1" t="s">
        <v>12</v>
      </c>
      <c r="C44" s="1" t="s">
        <v>13</v>
      </c>
      <c r="D44" s="1" t="s">
        <v>18</v>
      </c>
      <c r="E44" s="1" t="n">
        <v>495</v>
      </c>
      <c r="F44" s="1" t="n">
        <v>505</v>
      </c>
      <c r="G44" s="1" t="n">
        <v>97.5</v>
      </c>
      <c r="H44" s="1" t="n">
        <v>94.6</v>
      </c>
      <c r="I44" s="1" t="n">
        <v>4</v>
      </c>
    </row>
    <row r="45" customFormat="false" ht="15.75" hidden="false" customHeight="true" outlineLevel="0" collapsed="false">
      <c r="A45" s="1" t="s">
        <v>76</v>
      </c>
      <c r="B45" s="1" t="s">
        <v>23</v>
      </c>
      <c r="C45" s="1" t="s">
        <v>13</v>
      </c>
      <c r="D45" s="1" t="s">
        <v>14</v>
      </c>
      <c r="E45" s="1" t="n">
        <v>1200</v>
      </c>
      <c r="F45" s="1" t="n">
        <v>1202</v>
      </c>
      <c r="G45" s="1" t="n">
        <v>87.4</v>
      </c>
      <c r="H45" s="1" t="n">
        <v>109.3</v>
      </c>
      <c r="I45" s="1" t="n">
        <v>148</v>
      </c>
    </row>
    <row r="46" customFormat="false" ht="15.75" hidden="false" customHeight="true" outlineLevel="0" collapsed="false">
      <c r="A46" s="1" t="s">
        <v>77</v>
      </c>
      <c r="B46" s="1" t="s">
        <v>12</v>
      </c>
      <c r="C46" s="1" t="s">
        <v>13</v>
      </c>
      <c r="D46" s="1" t="s">
        <v>14</v>
      </c>
      <c r="E46" s="1" t="n">
        <v>565</v>
      </c>
      <c r="F46" s="1" t="n">
        <v>567</v>
      </c>
      <c r="G46" s="1" t="n">
        <v>43</v>
      </c>
      <c r="H46" s="1" t="n">
        <v>95</v>
      </c>
      <c r="I46" s="1" t="n">
        <v>290</v>
      </c>
    </row>
    <row r="47" customFormat="false" ht="15.75" hidden="false" customHeight="true" outlineLevel="0" collapsed="false">
      <c r="A47" s="1" t="s">
        <v>78</v>
      </c>
      <c r="B47" s="1" t="s">
        <v>12</v>
      </c>
      <c r="C47" s="1" t="s">
        <v>13</v>
      </c>
      <c r="D47" s="1" t="s">
        <v>14</v>
      </c>
      <c r="E47" s="1" t="n">
        <v>351</v>
      </c>
      <c r="F47" s="1" t="n">
        <v>353</v>
      </c>
      <c r="G47" s="1" t="n">
        <v>53.2</v>
      </c>
      <c r="H47" s="1" t="n">
        <v>91.5</v>
      </c>
      <c r="I47" s="1" t="n">
        <v>260</v>
      </c>
    </row>
    <row r="48" customFormat="false" ht="15.75" hidden="false" customHeight="true" outlineLevel="0" collapsed="false">
      <c r="A48" s="1" t="s">
        <v>79</v>
      </c>
      <c r="B48" s="1" t="s">
        <v>12</v>
      </c>
      <c r="C48" s="1" t="s">
        <v>13</v>
      </c>
      <c r="D48" s="1" t="s">
        <v>14</v>
      </c>
      <c r="E48" s="1" t="n">
        <v>345</v>
      </c>
      <c r="F48" s="1" t="n">
        <v>352</v>
      </c>
      <c r="G48" s="1" t="n">
        <v>43</v>
      </c>
      <c r="H48" s="1" t="n">
        <v>91.6</v>
      </c>
      <c r="I48" s="1" t="n">
        <v>750</v>
      </c>
    </row>
    <row r="49" customFormat="false" ht="15.75" hidden="false" customHeight="true" outlineLevel="0" collapsed="false">
      <c r="A49" s="1" t="s">
        <v>80</v>
      </c>
      <c r="B49" s="1" t="s">
        <v>12</v>
      </c>
      <c r="C49" s="1" t="s">
        <v>13</v>
      </c>
      <c r="D49" s="1" t="s">
        <v>14</v>
      </c>
      <c r="E49" s="1" t="n">
        <v>565</v>
      </c>
      <c r="F49" s="1" t="n">
        <v>567</v>
      </c>
      <c r="G49" s="1" t="n">
        <v>43</v>
      </c>
      <c r="H49" s="1" t="n">
        <v>95.8</v>
      </c>
      <c r="I49" s="1" t="n">
        <v>290</v>
      </c>
    </row>
    <row r="50" customFormat="false" ht="15.75" hidden="false" customHeight="true" outlineLevel="0" collapsed="false">
      <c r="A50" s="1" t="s">
        <v>81</v>
      </c>
      <c r="B50" s="1" t="s">
        <v>23</v>
      </c>
      <c r="C50" s="1" t="s">
        <v>13</v>
      </c>
      <c r="D50" s="1" t="s">
        <v>14</v>
      </c>
      <c r="E50" s="1" t="n">
        <v>1176</v>
      </c>
      <c r="F50" s="1" t="n">
        <v>1179</v>
      </c>
      <c r="G50" s="1" t="n">
        <v>87.9</v>
      </c>
      <c r="H50" s="1" t="n">
        <v>108.9</v>
      </c>
      <c r="I50" s="1" t="n">
        <v>148</v>
      </c>
    </row>
    <row r="51" customFormat="false" ht="15.75" hidden="false" customHeight="true" outlineLevel="0" collapsed="false">
      <c r="A51" s="1" t="s">
        <v>82</v>
      </c>
      <c r="B51" s="1" t="s">
        <v>12</v>
      </c>
      <c r="C51" s="1" t="s">
        <v>83</v>
      </c>
      <c r="D51" s="1" t="s">
        <v>14</v>
      </c>
      <c r="E51" s="1" t="n">
        <v>608</v>
      </c>
      <c r="F51" s="1" t="n">
        <v>622</v>
      </c>
      <c r="G51" s="1" t="n">
        <v>86.6</v>
      </c>
      <c r="H51" s="1" t="n">
        <v>97</v>
      </c>
      <c r="I51" s="1" t="n">
        <v>860</v>
      </c>
    </row>
    <row r="52" customFormat="false" ht="15.75" hidden="false" customHeight="true" outlineLevel="0" collapsed="false">
      <c r="A52" s="1" t="s">
        <v>84</v>
      </c>
      <c r="B52" s="1" t="s">
        <v>12</v>
      </c>
      <c r="C52" s="1" t="s">
        <v>13</v>
      </c>
      <c r="D52" s="1" t="s">
        <v>14</v>
      </c>
      <c r="E52" s="1" t="n">
        <v>548</v>
      </c>
      <c r="F52" s="1" t="n">
        <v>561</v>
      </c>
      <c r="G52" s="1" t="n">
        <v>53</v>
      </c>
      <c r="H52" s="1" t="n">
        <v>95.6</v>
      </c>
      <c r="I52" s="1" t="n">
        <v>260</v>
      </c>
    </row>
    <row r="53" customFormat="false" ht="15.75" hidden="false" customHeight="true" outlineLevel="0" collapsed="false">
      <c r="A53" s="1" t="s">
        <v>85</v>
      </c>
      <c r="B53" s="1" t="s">
        <v>12</v>
      </c>
      <c r="C53" s="1" t="s">
        <v>13</v>
      </c>
      <c r="D53" s="1" t="s">
        <v>14</v>
      </c>
      <c r="E53" s="1" t="n">
        <v>260</v>
      </c>
      <c r="F53" s="1" t="n">
        <v>280</v>
      </c>
      <c r="G53" s="1" t="n">
        <v>53</v>
      </c>
      <c r="H53" s="1" t="n">
        <v>95.6</v>
      </c>
      <c r="I53" s="1" t="n">
        <v>260</v>
      </c>
    </row>
    <row r="54" customFormat="false" ht="15.75" hidden="false" customHeight="true" outlineLevel="0" collapsed="false">
      <c r="A54" s="1" t="s">
        <v>86</v>
      </c>
      <c r="B54" s="1" t="s">
        <v>12</v>
      </c>
      <c r="C54" s="1" t="s">
        <v>13</v>
      </c>
      <c r="D54" s="1" t="s">
        <v>14</v>
      </c>
      <c r="E54" s="1" t="n">
        <v>35777</v>
      </c>
      <c r="F54" s="1" t="n">
        <v>35795</v>
      </c>
      <c r="G54" s="1" t="n">
        <v>0.04</v>
      </c>
      <c r="H54" s="1" t="n">
        <v>1436.08</v>
      </c>
      <c r="I54" s="1" t="n">
        <v>4200</v>
      </c>
    </row>
    <row r="55" customFormat="false" ht="15.75" hidden="false" customHeight="true" outlineLevel="0" collapsed="false">
      <c r="A55" s="1" t="s">
        <v>87</v>
      </c>
      <c r="B55" s="1" t="s">
        <v>23</v>
      </c>
      <c r="C55" s="1" t="s">
        <v>13</v>
      </c>
      <c r="D55" s="1" t="s">
        <v>58</v>
      </c>
      <c r="E55" s="1" t="n">
        <v>496</v>
      </c>
      <c r="F55" s="1" t="n">
        <v>511</v>
      </c>
      <c r="G55" s="1" t="n">
        <v>97.45</v>
      </c>
      <c r="H55" s="1" t="n">
        <v>96.4</v>
      </c>
      <c r="I55" s="1" t="n">
        <v>6</v>
      </c>
    </row>
    <row r="56" customFormat="false" ht="15.75" hidden="false" customHeight="true" outlineLevel="0" collapsed="false">
      <c r="A56" s="1" t="s">
        <v>88</v>
      </c>
      <c r="B56" s="1" t="s">
        <v>12</v>
      </c>
      <c r="C56" s="1" t="s">
        <v>13</v>
      </c>
      <c r="D56" s="1" t="s">
        <v>14</v>
      </c>
      <c r="E56" s="1" t="n">
        <v>348</v>
      </c>
      <c r="F56" s="1" t="n">
        <v>351</v>
      </c>
      <c r="G56" s="1" t="n">
        <v>53.2</v>
      </c>
      <c r="H56" s="1" t="n">
        <v>91.5</v>
      </c>
      <c r="I56" s="1" t="n">
        <v>260</v>
      </c>
    </row>
    <row r="57" customFormat="false" ht="15.75" hidden="false" customHeight="true" outlineLevel="0" collapsed="false">
      <c r="A57" s="1" t="s">
        <v>89</v>
      </c>
      <c r="B57" s="1" t="s">
        <v>12</v>
      </c>
      <c r="C57" s="1" t="s">
        <v>13</v>
      </c>
      <c r="D57" s="1" t="s">
        <v>14</v>
      </c>
      <c r="E57" s="1" t="n">
        <v>539</v>
      </c>
      <c r="F57" s="1" t="n">
        <v>541</v>
      </c>
      <c r="G57" s="1" t="n">
        <v>53</v>
      </c>
      <c r="H57" s="1" t="n">
        <v>95.4</v>
      </c>
      <c r="I57" s="1" t="n">
        <v>260</v>
      </c>
    </row>
    <row r="58" customFormat="false" ht="15.75" hidden="false" customHeight="true" outlineLevel="0" collapsed="false">
      <c r="A58" s="1" t="s">
        <v>90</v>
      </c>
      <c r="B58" s="1" t="s">
        <v>12</v>
      </c>
      <c r="C58" s="1" t="s">
        <v>13</v>
      </c>
      <c r="D58" s="1" t="s">
        <v>14</v>
      </c>
      <c r="E58" s="1" t="n">
        <v>260</v>
      </c>
      <c r="F58" s="1" t="n">
        <v>280</v>
      </c>
      <c r="G58" s="1" t="n">
        <v>53</v>
      </c>
      <c r="H58" s="1" t="n">
        <v>95.6</v>
      </c>
      <c r="I58" s="1" t="n">
        <v>260</v>
      </c>
    </row>
    <row r="59" customFormat="false" ht="15.75" hidden="false" customHeight="true" outlineLevel="0" collapsed="false">
      <c r="A59" s="1" t="s">
        <v>91</v>
      </c>
      <c r="B59" s="1" t="s">
        <v>12</v>
      </c>
      <c r="C59" s="1" t="s">
        <v>13</v>
      </c>
      <c r="D59" s="1" t="s">
        <v>14</v>
      </c>
      <c r="E59" s="1" t="n">
        <v>548</v>
      </c>
      <c r="F59" s="1" t="n">
        <v>561</v>
      </c>
      <c r="G59" s="1" t="n">
        <v>53</v>
      </c>
      <c r="H59" s="1" t="n">
        <v>95.6</v>
      </c>
      <c r="I59" s="1" t="n">
        <v>260</v>
      </c>
    </row>
    <row r="60" customFormat="false" ht="15.75" hidden="false" customHeight="true" outlineLevel="0" collapsed="false">
      <c r="A60" s="1" t="s">
        <v>92</v>
      </c>
      <c r="B60" s="1" t="s">
        <v>29</v>
      </c>
      <c r="C60" s="1" t="s">
        <v>13</v>
      </c>
      <c r="D60" s="1" t="s">
        <v>14</v>
      </c>
      <c r="E60" s="1" t="n">
        <v>35787</v>
      </c>
      <c r="F60" s="1" t="n">
        <v>35793</v>
      </c>
      <c r="G60" s="1" t="n">
        <v>0.05</v>
      </c>
      <c r="H60" s="1" t="n">
        <v>1436.26</v>
      </c>
      <c r="I60" s="1" t="n">
        <v>5724</v>
      </c>
    </row>
    <row r="61" customFormat="false" ht="15.75" hidden="false" customHeight="true" outlineLevel="0" collapsed="false">
      <c r="A61" s="1" t="s">
        <v>93</v>
      </c>
      <c r="B61" s="1" t="s">
        <v>12</v>
      </c>
      <c r="C61" s="1" t="s">
        <v>13</v>
      </c>
      <c r="D61" s="1" t="s">
        <v>14</v>
      </c>
      <c r="E61" s="1" t="n">
        <v>539</v>
      </c>
      <c r="F61" s="1" t="n">
        <v>541</v>
      </c>
      <c r="G61" s="1" t="n">
        <v>53</v>
      </c>
      <c r="H61" s="1" t="n">
        <v>95.4</v>
      </c>
      <c r="I61" s="1" t="n">
        <v>260</v>
      </c>
    </row>
    <row r="62" customFormat="false" ht="15.75" hidden="false" customHeight="true" outlineLevel="0" collapsed="false">
      <c r="A62" s="1" t="s">
        <v>94</v>
      </c>
      <c r="B62" s="1" t="s">
        <v>20</v>
      </c>
      <c r="C62" s="1" t="s">
        <v>13</v>
      </c>
      <c r="D62" s="1" t="s">
        <v>14</v>
      </c>
      <c r="E62" s="1" t="n">
        <v>1478</v>
      </c>
      <c r="F62" s="1" t="n">
        <v>1509</v>
      </c>
      <c r="G62" s="1" t="n">
        <v>82.51</v>
      </c>
      <c r="H62" s="1" t="n">
        <v>115.84</v>
      </c>
      <c r="I62" s="1" t="n">
        <v>280</v>
      </c>
    </row>
    <row r="63" customFormat="false" ht="15.75" hidden="false" customHeight="true" outlineLevel="0" collapsed="false">
      <c r="A63" s="1" t="s">
        <v>95</v>
      </c>
      <c r="B63" s="1" t="s">
        <v>96</v>
      </c>
      <c r="C63" s="1" t="s">
        <v>97</v>
      </c>
      <c r="D63" s="1" t="s">
        <v>98</v>
      </c>
      <c r="E63" s="1" t="n">
        <v>522</v>
      </c>
      <c r="F63" s="1" t="n">
        <v>535</v>
      </c>
      <c r="G63" s="1" t="n">
        <v>97.5</v>
      </c>
      <c r="H63" s="1" t="n">
        <v>95.2</v>
      </c>
      <c r="I63" s="1" t="n">
        <v>3</v>
      </c>
    </row>
    <row r="64" customFormat="false" ht="15.75" hidden="false" customHeight="true" outlineLevel="0" collapsed="false">
      <c r="A64" s="1" t="s">
        <v>99</v>
      </c>
      <c r="B64" s="1" t="s">
        <v>12</v>
      </c>
      <c r="C64" s="1" t="s">
        <v>13</v>
      </c>
      <c r="D64" s="1" t="s">
        <v>14</v>
      </c>
      <c r="E64" s="1" t="n">
        <v>565</v>
      </c>
      <c r="F64" s="1" t="n">
        <v>567</v>
      </c>
      <c r="G64" s="1" t="n">
        <v>43</v>
      </c>
      <c r="H64" s="1" t="n">
        <v>95.8</v>
      </c>
      <c r="I64" s="1" t="n">
        <v>260</v>
      </c>
    </row>
    <row r="65" customFormat="false" ht="15.75" hidden="false" customHeight="true" outlineLevel="0" collapsed="false">
      <c r="A65" s="1" t="s">
        <v>100</v>
      </c>
      <c r="B65" s="1" t="s">
        <v>12</v>
      </c>
      <c r="C65" s="1" t="s">
        <v>13</v>
      </c>
      <c r="D65" s="1" t="s">
        <v>14</v>
      </c>
      <c r="E65" s="1" t="n">
        <v>539</v>
      </c>
      <c r="F65" s="1" t="n">
        <v>541</v>
      </c>
      <c r="G65" s="1" t="n">
        <v>53</v>
      </c>
      <c r="H65" s="1" t="n">
        <v>95.4</v>
      </c>
      <c r="I65" s="1" t="n">
        <v>260</v>
      </c>
    </row>
    <row r="66" customFormat="false" ht="15.75" hidden="false" customHeight="true" outlineLevel="0" collapsed="false">
      <c r="A66" s="1" t="s">
        <v>101</v>
      </c>
      <c r="B66" s="1" t="s">
        <v>12</v>
      </c>
      <c r="C66" s="1" t="s">
        <v>13</v>
      </c>
      <c r="D66" s="1" t="s">
        <v>18</v>
      </c>
      <c r="E66" s="1" t="n">
        <v>565</v>
      </c>
      <c r="F66" s="1" t="n">
        <v>577</v>
      </c>
      <c r="G66" s="1" t="n">
        <v>36.9</v>
      </c>
      <c r="H66" s="1" t="n">
        <v>94.2</v>
      </c>
      <c r="I66" s="1" t="n">
        <v>10</v>
      </c>
    </row>
    <row r="67" customFormat="false" ht="15.75" hidden="false" customHeight="true" outlineLevel="0" collapsed="false">
      <c r="A67" s="1" t="s">
        <v>102</v>
      </c>
      <c r="B67" s="1" t="s">
        <v>12</v>
      </c>
      <c r="C67" s="1" t="s">
        <v>13</v>
      </c>
      <c r="D67" s="1" t="s">
        <v>14</v>
      </c>
      <c r="E67" s="1" t="n">
        <v>260</v>
      </c>
      <c r="F67" s="1" t="n">
        <v>280</v>
      </c>
      <c r="G67" s="1" t="n">
        <v>53</v>
      </c>
      <c r="H67" s="1" t="n">
        <v>95.6</v>
      </c>
      <c r="I67" s="1" t="n">
        <v>260</v>
      </c>
    </row>
    <row r="68" customFormat="false" ht="15.75" hidden="false" customHeight="true" outlineLevel="0" collapsed="false">
      <c r="A68" s="1" t="s">
        <v>103</v>
      </c>
      <c r="B68" s="1" t="s">
        <v>12</v>
      </c>
      <c r="C68" s="1" t="s">
        <v>13</v>
      </c>
      <c r="D68" s="1" t="s">
        <v>14</v>
      </c>
      <c r="E68" s="1" t="n">
        <v>548</v>
      </c>
      <c r="F68" s="1" t="n">
        <v>551</v>
      </c>
      <c r="G68" s="1" t="n">
        <v>53</v>
      </c>
      <c r="H68" s="1" t="n">
        <v>95.6</v>
      </c>
      <c r="I68" s="1" t="n">
        <v>260</v>
      </c>
    </row>
    <row r="69" customFormat="false" ht="15.75" hidden="false" customHeight="true" outlineLevel="0" collapsed="false">
      <c r="A69" s="1" t="s">
        <v>104</v>
      </c>
      <c r="B69" s="1" t="s">
        <v>12</v>
      </c>
      <c r="C69" s="1" t="s">
        <v>13</v>
      </c>
      <c r="D69" s="1" t="s">
        <v>14</v>
      </c>
      <c r="E69" s="1" t="n">
        <v>539</v>
      </c>
      <c r="F69" s="1" t="n">
        <v>541</v>
      </c>
      <c r="G69" s="1" t="n">
        <v>53</v>
      </c>
      <c r="H69" s="1" t="n">
        <v>95.4</v>
      </c>
      <c r="I69" s="1" t="n">
        <v>260</v>
      </c>
    </row>
    <row r="70" customFormat="false" ht="15.75" hidden="false" customHeight="true" outlineLevel="0" collapsed="false">
      <c r="A70" s="1" t="s">
        <v>105</v>
      </c>
      <c r="B70" s="1" t="s">
        <v>23</v>
      </c>
      <c r="C70" s="1" t="s">
        <v>13</v>
      </c>
      <c r="D70" s="1" t="s">
        <v>14</v>
      </c>
      <c r="E70" s="1" t="n">
        <v>1184</v>
      </c>
      <c r="F70" s="1" t="n">
        <v>1187</v>
      </c>
      <c r="G70" s="1" t="n">
        <v>87.9</v>
      </c>
      <c r="H70" s="1" t="n">
        <v>109.1</v>
      </c>
      <c r="I70" s="1" t="n">
        <v>148</v>
      </c>
    </row>
    <row r="71" customFormat="false" ht="15.75" hidden="false" customHeight="true" outlineLevel="0" collapsed="false">
      <c r="A71" s="1" t="s">
        <v>106</v>
      </c>
      <c r="B71" s="1" t="s">
        <v>12</v>
      </c>
      <c r="C71" s="1" t="s">
        <v>13</v>
      </c>
      <c r="D71" s="1" t="s">
        <v>18</v>
      </c>
      <c r="E71" s="1" t="n">
        <v>524</v>
      </c>
      <c r="F71" s="1" t="n">
        <v>537</v>
      </c>
      <c r="G71" s="1" t="n">
        <v>97.5</v>
      </c>
      <c r="H71" s="1" t="n">
        <v>94.7</v>
      </c>
      <c r="I71" s="1" t="n">
        <v>6</v>
      </c>
    </row>
    <row r="72" customFormat="false" ht="15.75" hidden="false" customHeight="true" outlineLevel="0" collapsed="false">
      <c r="A72" s="1" t="s">
        <v>107</v>
      </c>
      <c r="B72" s="1" t="s">
        <v>12</v>
      </c>
      <c r="C72" s="1" t="s">
        <v>13</v>
      </c>
      <c r="D72" s="1" t="s">
        <v>18</v>
      </c>
      <c r="E72" s="1" t="n">
        <v>524</v>
      </c>
      <c r="F72" s="1" t="n">
        <v>537</v>
      </c>
      <c r="G72" s="1" t="n">
        <v>97.5</v>
      </c>
      <c r="H72" s="1" t="n">
        <v>94.7</v>
      </c>
      <c r="I72" s="1" t="n">
        <v>6</v>
      </c>
    </row>
    <row r="73" customFormat="false" ht="15.75" hidden="false" customHeight="true" outlineLevel="0" collapsed="false">
      <c r="A73" s="1" t="s">
        <v>108</v>
      </c>
      <c r="B73" s="1" t="s">
        <v>12</v>
      </c>
      <c r="C73" s="1" t="s">
        <v>13</v>
      </c>
      <c r="D73" s="1" t="s">
        <v>14</v>
      </c>
      <c r="E73" s="1" t="n">
        <v>260</v>
      </c>
      <c r="F73" s="1" t="n">
        <v>280</v>
      </c>
      <c r="G73" s="1" t="n">
        <v>53</v>
      </c>
      <c r="H73" s="1" t="n">
        <v>95.6</v>
      </c>
      <c r="I73" s="1" t="n">
        <v>260</v>
      </c>
    </row>
    <row r="74" customFormat="false" ht="15.75" hidden="false" customHeight="true" outlineLevel="0" collapsed="false">
      <c r="A74" s="1" t="s">
        <v>109</v>
      </c>
      <c r="B74" s="1" t="s">
        <v>12</v>
      </c>
      <c r="C74" s="1" t="s">
        <v>13</v>
      </c>
      <c r="D74" s="1" t="s">
        <v>14</v>
      </c>
      <c r="E74" s="1" t="n">
        <v>538</v>
      </c>
      <c r="F74" s="1" t="n">
        <v>541</v>
      </c>
      <c r="G74" s="1" t="n">
        <v>53.2</v>
      </c>
      <c r="H74" s="1" t="n">
        <v>95.4</v>
      </c>
      <c r="I74" s="1" t="n">
        <v>260</v>
      </c>
    </row>
    <row r="75" customFormat="false" ht="15.75" hidden="false" customHeight="true" outlineLevel="0" collapsed="false">
      <c r="A75" s="1" t="s">
        <v>110</v>
      </c>
      <c r="B75" s="1" t="s">
        <v>12</v>
      </c>
      <c r="C75" s="1" t="s">
        <v>13</v>
      </c>
      <c r="D75" s="1" t="s">
        <v>14</v>
      </c>
      <c r="E75" s="1" t="n">
        <v>548</v>
      </c>
      <c r="F75" s="1" t="n">
        <v>551</v>
      </c>
      <c r="G75" s="1" t="n">
        <v>53</v>
      </c>
      <c r="H75" s="1" t="n">
        <v>95.6</v>
      </c>
      <c r="I75" s="1" t="n">
        <v>260</v>
      </c>
    </row>
    <row r="76" customFormat="false" ht="15.75" hidden="false" customHeight="true" outlineLevel="0" collapsed="false">
      <c r="A76" s="1" t="s">
        <v>111</v>
      </c>
      <c r="B76" s="1" t="s">
        <v>112</v>
      </c>
      <c r="C76" s="1" t="s">
        <v>13</v>
      </c>
      <c r="D76" s="1" t="s">
        <v>18</v>
      </c>
      <c r="E76" s="1" t="n">
        <v>521</v>
      </c>
      <c r="F76" s="1" t="n">
        <v>537</v>
      </c>
      <c r="G76" s="1" t="n">
        <v>97.5</v>
      </c>
      <c r="H76" s="1" t="n">
        <v>95.1</v>
      </c>
      <c r="I76" s="1" t="n">
        <v>42</v>
      </c>
    </row>
    <row r="77" customFormat="false" ht="15.75" hidden="false" customHeight="true" outlineLevel="0" collapsed="false">
      <c r="A77" s="1" t="s">
        <v>113</v>
      </c>
      <c r="B77" s="1" t="s">
        <v>114</v>
      </c>
      <c r="C77" s="1" t="s">
        <v>13</v>
      </c>
      <c r="D77" s="1" t="s">
        <v>14</v>
      </c>
      <c r="E77" s="1" t="n">
        <v>35778</v>
      </c>
      <c r="F77" s="1" t="n">
        <v>35795</v>
      </c>
      <c r="G77" s="1" t="n">
        <v>0.02</v>
      </c>
      <c r="H77" s="1" t="n">
        <v>1436.1</v>
      </c>
      <c r="I77" s="1" t="n">
        <v>5396</v>
      </c>
    </row>
    <row r="78" customFormat="false" ht="15.75" hidden="false" customHeight="true" outlineLevel="0" collapsed="false">
      <c r="A78" s="1" t="s">
        <v>115</v>
      </c>
      <c r="B78" s="1" t="s">
        <v>12</v>
      </c>
      <c r="C78" s="1" t="s">
        <v>13</v>
      </c>
      <c r="D78" s="1" t="s">
        <v>14</v>
      </c>
      <c r="E78" s="1" t="n">
        <v>548</v>
      </c>
      <c r="F78" s="1" t="n">
        <v>551</v>
      </c>
      <c r="G78" s="1" t="n">
        <v>53</v>
      </c>
      <c r="H78" s="1" t="n">
        <v>95.6</v>
      </c>
      <c r="I78" s="1" t="n">
        <v>227</v>
      </c>
    </row>
    <row r="79" customFormat="false" ht="15.75" hidden="false" customHeight="true" outlineLevel="0" collapsed="false">
      <c r="A79" s="1" t="s">
        <v>116</v>
      </c>
      <c r="B79" s="1" t="s">
        <v>23</v>
      </c>
      <c r="C79" s="1" t="s">
        <v>13</v>
      </c>
      <c r="D79" s="1" t="s">
        <v>14</v>
      </c>
      <c r="E79" s="1" t="n">
        <v>590</v>
      </c>
      <c r="F79" s="1" t="n">
        <v>600</v>
      </c>
      <c r="G79" s="1" t="n">
        <v>87.4</v>
      </c>
      <c r="H79" s="1" t="n">
        <v>96.75</v>
      </c>
      <c r="I79" s="1" t="n">
        <v>148</v>
      </c>
    </row>
    <row r="80" customFormat="false" ht="15.75" hidden="false" customHeight="true" outlineLevel="0" collapsed="false">
      <c r="A80" s="1" t="s">
        <v>117</v>
      </c>
      <c r="B80" s="1" t="s">
        <v>118</v>
      </c>
      <c r="C80" s="1" t="s">
        <v>37</v>
      </c>
      <c r="D80" s="1" t="s">
        <v>18</v>
      </c>
      <c r="E80" s="1" t="n">
        <v>622</v>
      </c>
      <c r="F80" s="1" t="n">
        <v>654</v>
      </c>
      <c r="G80" s="1" t="n">
        <v>98.03</v>
      </c>
      <c r="H80" s="1" t="n">
        <v>97.48</v>
      </c>
      <c r="I80" s="1" t="n">
        <v>880</v>
      </c>
    </row>
    <row r="81" customFormat="false" ht="15.75" hidden="false" customHeight="true" outlineLevel="0" collapsed="false">
      <c r="A81" s="1" t="s">
        <v>119</v>
      </c>
      <c r="B81" s="1" t="s">
        <v>12</v>
      </c>
      <c r="C81" s="1" t="s">
        <v>13</v>
      </c>
      <c r="D81" s="1" t="s">
        <v>14</v>
      </c>
      <c r="E81" s="1" t="n">
        <v>564</v>
      </c>
      <c r="F81" s="1" t="n">
        <v>567</v>
      </c>
      <c r="G81" s="1" t="n">
        <v>43</v>
      </c>
      <c r="H81" s="1" t="n">
        <v>95.8</v>
      </c>
      <c r="I81" s="1" t="n">
        <v>290</v>
      </c>
    </row>
    <row r="82" customFormat="false" ht="15.75" hidden="false" customHeight="true" outlineLevel="0" collapsed="false">
      <c r="A82" s="1" t="s">
        <v>120</v>
      </c>
      <c r="B82" s="1" t="s">
        <v>63</v>
      </c>
      <c r="C82" s="1" t="s">
        <v>64</v>
      </c>
      <c r="D82" s="1" t="s">
        <v>18</v>
      </c>
      <c r="E82" s="1" t="n">
        <v>35791</v>
      </c>
      <c r="F82" s="1" t="n">
        <v>35795</v>
      </c>
      <c r="G82" s="1" t="n">
        <v>3.1</v>
      </c>
      <c r="H82" s="1" t="n">
        <v>1436.1</v>
      </c>
      <c r="I82" s="1" t="n">
        <v>2000</v>
      </c>
    </row>
    <row r="83" customFormat="false" ht="15.75" hidden="false" customHeight="true" outlineLevel="0" collapsed="false">
      <c r="A83" s="1" t="s">
        <v>121</v>
      </c>
      <c r="B83" s="1" t="s">
        <v>12</v>
      </c>
      <c r="C83" s="1" t="s">
        <v>97</v>
      </c>
      <c r="D83" s="1" t="s">
        <v>18</v>
      </c>
      <c r="E83" s="1" t="n">
        <v>487</v>
      </c>
      <c r="F83" s="1" t="n">
        <v>506</v>
      </c>
      <c r="G83" s="1" t="n">
        <v>97.4</v>
      </c>
      <c r="H83" s="1" t="n">
        <v>94.5</v>
      </c>
      <c r="I83" s="1" t="n">
        <v>1</v>
      </c>
    </row>
    <row r="84" customFormat="false" ht="15.75" hidden="false" customHeight="true" outlineLevel="0" collapsed="false">
      <c r="A84" s="1" t="s">
        <v>122</v>
      </c>
      <c r="B84" s="1" t="s">
        <v>12</v>
      </c>
      <c r="C84" s="1" t="s">
        <v>13</v>
      </c>
      <c r="D84" s="1" t="s">
        <v>14</v>
      </c>
      <c r="E84" s="1" t="n">
        <v>548</v>
      </c>
      <c r="F84" s="1" t="n">
        <v>561</v>
      </c>
      <c r="G84" s="1" t="n">
        <v>53</v>
      </c>
      <c r="H84" s="1" t="n">
        <v>95.6</v>
      </c>
      <c r="I84" s="1" t="n">
        <v>260</v>
      </c>
    </row>
    <row r="85" customFormat="false" ht="15.75" hidden="false" customHeight="true" outlineLevel="0" collapsed="false">
      <c r="A85" s="1" t="s">
        <v>123</v>
      </c>
      <c r="B85" s="1" t="s">
        <v>71</v>
      </c>
      <c r="C85" s="1" t="s">
        <v>37</v>
      </c>
      <c r="D85" s="1" t="s">
        <v>18</v>
      </c>
      <c r="E85" s="1" t="n">
        <v>668</v>
      </c>
      <c r="F85" s="1" t="n">
        <v>670</v>
      </c>
      <c r="G85" s="1" t="n">
        <v>98.1</v>
      </c>
      <c r="H85" s="1" t="n">
        <v>98.1</v>
      </c>
      <c r="I85" s="1" t="n">
        <v>1750</v>
      </c>
    </row>
    <row r="86" customFormat="false" ht="15.75" hidden="false" customHeight="true" outlineLevel="0" collapsed="false">
      <c r="A86" s="1" t="s">
        <v>124</v>
      </c>
      <c r="B86" s="1" t="s">
        <v>12</v>
      </c>
      <c r="C86" s="1" t="s">
        <v>13</v>
      </c>
      <c r="D86" s="1" t="s">
        <v>14</v>
      </c>
      <c r="E86" s="1" t="n">
        <v>565</v>
      </c>
      <c r="F86" s="1" t="n">
        <v>567</v>
      </c>
      <c r="G86" s="1" t="n">
        <v>43</v>
      </c>
      <c r="H86" s="1" t="n">
        <v>95</v>
      </c>
      <c r="I86" s="1" t="n">
        <v>290</v>
      </c>
    </row>
    <row r="87" customFormat="false" ht="15.75" hidden="false" customHeight="true" outlineLevel="0" collapsed="false">
      <c r="A87" s="1" t="s">
        <v>125</v>
      </c>
      <c r="B87" s="1" t="s">
        <v>12</v>
      </c>
      <c r="C87" s="1" t="s">
        <v>13</v>
      </c>
      <c r="D87" s="1" t="s">
        <v>14</v>
      </c>
      <c r="E87" s="1" t="n">
        <v>348</v>
      </c>
      <c r="F87" s="1" t="n">
        <v>351</v>
      </c>
      <c r="G87" s="1" t="n">
        <v>53.2</v>
      </c>
      <c r="H87" s="1" t="n">
        <v>91.5</v>
      </c>
      <c r="I87" s="1" t="n">
        <v>260</v>
      </c>
    </row>
    <row r="88" customFormat="false" ht="15.75" hidden="false" customHeight="true" outlineLevel="0" collapsed="false">
      <c r="A88" s="1" t="s">
        <v>126</v>
      </c>
      <c r="B88" s="1" t="s">
        <v>12</v>
      </c>
      <c r="C88" s="1" t="s">
        <v>13</v>
      </c>
      <c r="D88" s="1" t="s">
        <v>14</v>
      </c>
      <c r="E88" s="1" t="n">
        <v>348</v>
      </c>
      <c r="F88" s="1" t="n">
        <v>351</v>
      </c>
      <c r="G88" s="1" t="n">
        <v>53.2</v>
      </c>
      <c r="H88" s="1" t="n">
        <v>91.5</v>
      </c>
      <c r="I88" s="1" t="n">
        <v>260</v>
      </c>
    </row>
    <row r="89" customFormat="false" ht="15.75" hidden="false" customHeight="true" outlineLevel="0" collapsed="false">
      <c r="A89" s="1" t="s">
        <v>127</v>
      </c>
      <c r="B89" s="1" t="s">
        <v>12</v>
      </c>
      <c r="C89" s="1" t="s">
        <v>13</v>
      </c>
      <c r="D89" s="1" t="s">
        <v>14</v>
      </c>
      <c r="E89" s="1" t="n">
        <v>498</v>
      </c>
      <c r="F89" s="1" t="n">
        <v>508</v>
      </c>
      <c r="G89" s="1" t="n">
        <v>97.4</v>
      </c>
      <c r="H89" s="1" t="n">
        <v>94</v>
      </c>
      <c r="I89" s="1" t="n">
        <v>2</v>
      </c>
    </row>
    <row r="90" customFormat="false" ht="15.75" hidden="false" customHeight="true" outlineLevel="0" collapsed="false">
      <c r="A90" s="1" t="s">
        <v>128</v>
      </c>
      <c r="B90" s="1" t="s">
        <v>12</v>
      </c>
      <c r="C90" s="1" t="s">
        <v>13</v>
      </c>
      <c r="D90" s="1" t="s">
        <v>14</v>
      </c>
      <c r="E90" s="1" t="n">
        <v>538</v>
      </c>
      <c r="F90" s="1" t="n">
        <v>541</v>
      </c>
      <c r="G90" s="1" t="n">
        <v>53.2</v>
      </c>
      <c r="H90" s="1" t="n">
        <v>95.4</v>
      </c>
      <c r="I90" s="1" t="n">
        <v>260</v>
      </c>
    </row>
    <row r="91" customFormat="false" ht="15.75" hidden="false" customHeight="true" outlineLevel="0" collapsed="false">
      <c r="A91" s="1" t="s">
        <v>129</v>
      </c>
      <c r="B91" s="1" t="s">
        <v>12</v>
      </c>
      <c r="C91" s="1" t="s">
        <v>13</v>
      </c>
      <c r="D91" s="1" t="s">
        <v>14</v>
      </c>
      <c r="E91" s="1" t="n">
        <v>549</v>
      </c>
      <c r="F91" s="1" t="n">
        <v>551</v>
      </c>
      <c r="G91" s="1" t="n">
        <v>53</v>
      </c>
      <c r="H91" s="1" t="n">
        <v>95.6</v>
      </c>
      <c r="I91" s="1" t="n">
        <v>227</v>
      </c>
    </row>
    <row r="92" customFormat="false" ht="15.75" hidden="false" customHeight="true" outlineLevel="0" collapsed="false">
      <c r="A92" s="1" t="s">
        <v>130</v>
      </c>
      <c r="B92" s="1" t="s">
        <v>12</v>
      </c>
      <c r="C92" s="1" t="s">
        <v>13</v>
      </c>
      <c r="D92" s="1" t="s">
        <v>14</v>
      </c>
      <c r="E92" s="1" t="n">
        <v>538</v>
      </c>
      <c r="F92" s="1" t="n">
        <v>541</v>
      </c>
      <c r="G92" s="1" t="n">
        <v>53.2</v>
      </c>
      <c r="H92" s="1" t="n">
        <v>95.4</v>
      </c>
      <c r="I92" s="1" t="n">
        <v>260</v>
      </c>
    </row>
    <row r="93" customFormat="false" ht="15.75" hidden="false" customHeight="true" outlineLevel="0" collapsed="false">
      <c r="A93" s="1" t="s">
        <v>131</v>
      </c>
      <c r="B93" s="1" t="s">
        <v>12</v>
      </c>
      <c r="C93" s="1" t="s">
        <v>13</v>
      </c>
      <c r="D93" s="1" t="s">
        <v>14</v>
      </c>
      <c r="E93" s="1" t="n">
        <v>538</v>
      </c>
      <c r="F93" s="1" t="n">
        <v>542</v>
      </c>
      <c r="G93" s="1" t="n">
        <v>53.2</v>
      </c>
      <c r="H93" s="1" t="n">
        <v>95.4</v>
      </c>
      <c r="I93" s="1" t="n">
        <v>260</v>
      </c>
    </row>
    <row r="94" customFormat="false" ht="15.75" hidden="false" customHeight="true" outlineLevel="0" collapsed="false">
      <c r="A94" s="1" t="s">
        <v>132</v>
      </c>
      <c r="B94" s="1" t="s">
        <v>23</v>
      </c>
      <c r="C94" s="1" t="s">
        <v>13</v>
      </c>
      <c r="D94" s="1" t="s">
        <v>14</v>
      </c>
      <c r="E94" s="1" t="n">
        <v>1200</v>
      </c>
      <c r="F94" s="1" t="n">
        <v>1202</v>
      </c>
      <c r="G94" s="1" t="n">
        <v>87.9</v>
      </c>
      <c r="H94" s="1" t="n">
        <v>109.3</v>
      </c>
      <c r="I94" s="1" t="n">
        <v>148</v>
      </c>
    </row>
    <row r="95" customFormat="false" ht="15.75" hidden="false" customHeight="true" outlineLevel="0" collapsed="false">
      <c r="A95" s="1" t="s">
        <v>133</v>
      </c>
      <c r="B95" s="1" t="s">
        <v>134</v>
      </c>
      <c r="C95" s="1" t="s">
        <v>13</v>
      </c>
      <c r="D95" s="1" t="s">
        <v>14</v>
      </c>
      <c r="E95" s="1" t="n">
        <v>35778</v>
      </c>
      <c r="F95" s="1" t="n">
        <v>35793</v>
      </c>
      <c r="G95" s="1" t="n">
        <v>0.01</v>
      </c>
      <c r="H95" s="1" t="n">
        <v>1436.06</v>
      </c>
      <c r="I95" s="1" t="n">
        <v>3100</v>
      </c>
    </row>
    <row r="96" customFormat="false" ht="15.75" hidden="false" customHeight="true" outlineLevel="0" collapsed="false">
      <c r="A96" s="1" t="s">
        <v>135</v>
      </c>
      <c r="B96" s="1" t="s">
        <v>12</v>
      </c>
      <c r="C96" s="1" t="s">
        <v>13</v>
      </c>
      <c r="D96" s="1" t="s">
        <v>14</v>
      </c>
      <c r="E96" s="1" t="n">
        <v>577</v>
      </c>
      <c r="F96" s="1" t="n">
        <v>581</v>
      </c>
      <c r="G96" s="1" t="n">
        <v>70</v>
      </c>
      <c r="H96" s="1" t="n">
        <v>96.1</v>
      </c>
      <c r="I96" s="1" t="n">
        <v>290</v>
      </c>
    </row>
    <row r="97" customFormat="false" ht="15.75" hidden="false" customHeight="true" outlineLevel="0" collapsed="false">
      <c r="A97" s="1" t="s">
        <v>136</v>
      </c>
      <c r="B97" s="1" t="s">
        <v>137</v>
      </c>
      <c r="C97" s="1" t="s">
        <v>13</v>
      </c>
      <c r="D97" s="1" t="s">
        <v>14</v>
      </c>
      <c r="E97" s="1" t="n">
        <v>35772</v>
      </c>
      <c r="F97" s="1" t="n">
        <v>35800</v>
      </c>
      <c r="G97" s="1" t="n">
        <v>0.07</v>
      </c>
      <c r="H97" s="1" t="n">
        <v>1436.09</v>
      </c>
      <c r="I97" s="1" t="n">
        <v>2495</v>
      </c>
    </row>
    <row r="98" customFormat="false" ht="15.75" hidden="false" customHeight="true" outlineLevel="0" collapsed="false">
      <c r="A98" s="1" t="s">
        <v>138</v>
      </c>
      <c r="B98" s="1" t="s">
        <v>12</v>
      </c>
      <c r="C98" s="1" t="s">
        <v>13</v>
      </c>
      <c r="D98" s="1" t="s">
        <v>14</v>
      </c>
      <c r="E98" s="1" t="n">
        <v>538</v>
      </c>
      <c r="F98" s="1" t="n">
        <v>541</v>
      </c>
      <c r="G98" s="1" t="n">
        <v>53.2</v>
      </c>
      <c r="H98" s="1" t="n">
        <v>95.4</v>
      </c>
      <c r="I98" s="1" t="n">
        <v>260</v>
      </c>
    </row>
    <row r="99" customFormat="false" ht="15.75" hidden="false" customHeight="true" outlineLevel="0" collapsed="false">
      <c r="A99" s="1" t="s">
        <v>139</v>
      </c>
      <c r="B99" s="1" t="s">
        <v>12</v>
      </c>
      <c r="C99" s="1" t="s">
        <v>13</v>
      </c>
      <c r="D99" s="1" t="s">
        <v>14</v>
      </c>
      <c r="E99" s="1" t="n">
        <v>569</v>
      </c>
      <c r="F99" s="1" t="n">
        <v>571</v>
      </c>
      <c r="G99" s="1" t="n">
        <v>53</v>
      </c>
      <c r="H99" s="1" t="n">
        <v>92.1</v>
      </c>
      <c r="I99" s="1" t="n">
        <v>227</v>
      </c>
    </row>
    <row r="100" customFormat="false" ht="15.75" hidden="false" customHeight="true" outlineLevel="0" collapsed="false">
      <c r="A100" s="1" t="s">
        <v>140</v>
      </c>
      <c r="B100" s="1" t="s">
        <v>23</v>
      </c>
      <c r="C100" s="1" t="s">
        <v>13</v>
      </c>
      <c r="D100" s="1" t="s">
        <v>14</v>
      </c>
      <c r="E100" s="1" t="n">
        <v>8062</v>
      </c>
      <c r="F100" s="1" t="n">
        <v>8069</v>
      </c>
      <c r="G100" s="1" t="n">
        <v>0.05</v>
      </c>
      <c r="H100" s="1" t="n">
        <v>287.92</v>
      </c>
      <c r="I100" s="1" t="n">
        <v>650</v>
      </c>
    </row>
    <row r="101" customFormat="false" ht="15.75" hidden="false" customHeight="true" outlineLevel="0" collapsed="false">
      <c r="A101" s="1" t="s">
        <v>141</v>
      </c>
      <c r="B101" s="1" t="s">
        <v>12</v>
      </c>
      <c r="C101" s="1" t="s">
        <v>13</v>
      </c>
      <c r="D101" s="1" t="s">
        <v>14</v>
      </c>
      <c r="E101" s="1" t="n">
        <v>539</v>
      </c>
      <c r="F101" s="1" t="n">
        <v>541</v>
      </c>
      <c r="G101" s="1" t="n">
        <v>53.2</v>
      </c>
      <c r="H101" s="1" t="n">
        <v>95.4</v>
      </c>
      <c r="I101" s="1" t="n">
        <v>260</v>
      </c>
    </row>
    <row r="102" customFormat="false" ht="15.75" hidden="false" customHeight="true" outlineLevel="0" collapsed="false">
      <c r="A102" s="1" t="s">
        <v>142</v>
      </c>
      <c r="B102" s="1" t="s">
        <v>63</v>
      </c>
      <c r="C102" s="1" t="s">
        <v>13</v>
      </c>
      <c r="D102" s="1" t="s">
        <v>14</v>
      </c>
      <c r="E102" s="1" t="n">
        <v>35772</v>
      </c>
      <c r="F102" s="1" t="n">
        <v>35816</v>
      </c>
      <c r="G102" s="1" t="n">
        <v>0</v>
      </c>
      <c r="H102" s="1" t="n">
        <v>1436.1</v>
      </c>
      <c r="I102" s="1" t="n">
        <v>3600</v>
      </c>
    </row>
    <row r="103" customFormat="false" ht="15.75" hidden="false" customHeight="true" outlineLevel="0" collapsed="false">
      <c r="A103" s="1" t="s">
        <v>143</v>
      </c>
      <c r="B103" s="1" t="s">
        <v>52</v>
      </c>
      <c r="C103" s="1" t="s">
        <v>13</v>
      </c>
      <c r="D103" s="1" t="s">
        <v>14</v>
      </c>
      <c r="E103" s="1" t="n">
        <v>35794</v>
      </c>
      <c r="F103" s="1" t="n">
        <v>35796</v>
      </c>
      <c r="G103" s="1" t="n">
        <v>0.3</v>
      </c>
      <c r="H103" s="1" t="n">
        <v>1436.1</v>
      </c>
      <c r="I103" s="1" t="n">
        <v>5000</v>
      </c>
    </row>
    <row r="104" customFormat="false" ht="15.75" hidden="false" customHeight="true" outlineLevel="0" collapsed="false">
      <c r="A104" s="1" t="s">
        <v>144</v>
      </c>
      <c r="B104" s="1" t="s">
        <v>23</v>
      </c>
      <c r="C104" s="1" t="s">
        <v>13</v>
      </c>
      <c r="D104" s="1" t="s">
        <v>14</v>
      </c>
      <c r="E104" s="1" t="n">
        <v>1184</v>
      </c>
      <c r="F104" s="1" t="n">
        <v>1188</v>
      </c>
      <c r="G104" s="1" t="n">
        <v>87.9</v>
      </c>
      <c r="H104" s="1" t="n">
        <v>109.1</v>
      </c>
      <c r="I104" s="1" t="n">
        <v>148</v>
      </c>
    </row>
    <row r="105" customFormat="false" ht="15.75" hidden="false" customHeight="true" outlineLevel="0" collapsed="false">
      <c r="A105" s="1" t="s">
        <v>145</v>
      </c>
      <c r="B105" s="1" t="s">
        <v>12</v>
      </c>
      <c r="C105" s="1" t="s">
        <v>13</v>
      </c>
      <c r="D105" s="1" t="s">
        <v>14</v>
      </c>
      <c r="E105" s="1" t="n">
        <v>539</v>
      </c>
      <c r="F105" s="1" t="n">
        <v>541</v>
      </c>
      <c r="G105" s="1" t="n">
        <v>53</v>
      </c>
      <c r="H105" s="1" t="n">
        <v>95.4</v>
      </c>
      <c r="I105" s="1" t="n">
        <v>260</v>
      </c>
    </row>
    <row r="106" customFormat="false" ht="15.75" hidden="false" customHeight="true" outlineLevel="0" collapsed="false">
      <c r="A106" s="1" t="s">
        <v>146</v>
      </c>
      <c r="B106" s="1" t="s">
        <v>12</v>
      </c>
      <c r="C106" s="1" t="s">
        <v>13</v>
      </c>
      <c r="D106" s="1" t="s">
        <v>14</v>
      </c>
      <c r="E106" s="1" t="n">
        <v>539</v>
      </c>
      <c r="F106" s="1" t="n">
        <v>541</v>
      </c>
      <c r="G106" s="1" t="n">
        <v>53.2</v>
      </c>
      <c r="H106" s="1" t="n">
        <v>95.4</v>
      </c>
      <c r="I106" s="1" t="n">
        <v>260</v>
      </c>
    </row>
    <row r="107" customFormat="false" ht="15.75" hidden="false" customHeight="true" outlineLevel="0" collapsed="false">
      <c r="A107" s="1" t="s">
        <v>147</v>
      </c>
      <c r="B107" s="1" t="s">
        <v>12</v>
      </c>
      <c r="C107" s="1" t="s">
        <v>13</v>
      </c>
      <c r="D107" s="1" t="s">
        <v>14</v>
      </c>
      <c r="E107" s="1" t="n">
        <v>564</v>
      </c>
      <c r="F107" s="1" t="n">
        <v>582</v>
      </c>
      <c r="G107" s="1" t="n">
        <v>53</v>
      </c>
      <c r="H107" s="1" t="n">
        <v>95.6</v>
      </c>
      <c r="I107" s="1" t="n">
        <v>260</v>
      </c>
    </row>
    <row r="108" customFormat="false" ht="15.75" hidden="false" customHeight="true" outlineLevel="0" collapsed="false">
      <c r="A108" s="1" t="s">
        <v>148</v>
      </c>
      <c r="B108" s="1" t="s">
        <v>12</v>
      </c>
      <c r="C108" s="1" t="s">
        <v>13</v>
      </c>
      <c r="D108" s="1" t="s">
        <v>14</v>
      </c>
      <c r="E108" s="1" t="n">
        <v>260</v>
      </c>
      <c r="F108" s="1" t="n">
        <v>280</v>
      </c>
      <c r="G108" s="1" t="n">
        <v>53</v>
      </c>
      <c r="H108" s="1" t="n">
        <v>95.6</v>
      </c>
      <c r="I108" s="1" t="n">
        <v>260</v>
      </c>
    </row>
    <row r="109" customFormat="false" ht="15.75" hidden="false" customHeight="true" outlineLevel="0" collapsed="false">
      <c r="A109" s="1" t="s">
        <v>149</v>
      </c>
      <c r="B109" s="1" t="s">
        <v>150</v>
      </c>
      <c r="C109" s="1" t="s">
        <v>13</v>
      </c>
      <c r="D109" s="1" t="s">
        <v>58</v>
      </c>
      <c r="E109" s="1" t="n">
        <v>495</v>
      </c>
      <c r="F109" s="1" t="n">
        <v>501</v>
      </c>
      <c r="G109" s="1" t="n">
        <v>45</v>
      </c>
      <c r="H109" s="1" t="n">
        <v>95.7</v>
      </c>
      <c r="I109" s="1" t="n">
        <v>5</v>
      </c>
    </row>
    <row r="110" customFormat="false" ht="15.75" hidden="false" customHeight="true" outlineLevel="0" collapsed="false">
      <c r="A110" s="1" t="s">
        <v>151</v>
      </c>
      <c r="B110" s="1" t="s">
        <v>12</v>
      </c>
      <c r="C110" s="1" t="s">
        <v>13</v>
      </c>
      <c r="D110" s="1" t="s">
        <v>18</v>
      </c>
      <c r="E110" s="1" t="n">
        <v>522</v>
      </c>
      <c r="F110" s="1" t="n">
        <v>535</v>
      </c>
      <c r="G110" s="1" t="n">
        <v>97.5</v>
      </c>
      <c r="H110" s="1" t="n">
        <v>95.2</v>
      </c>
      <c r="I110" s="1" t="n">
        <v>4</v>
      </c>
    </row>
    <row r="111" customFormat="false" ht="15.75" hidden="false" customHeight="true" outlineLevel="0" collapsed="false">
      <c r="A111" s="1" t="s">
        <v>152</v>
      </c>
      <c r="B111" s="1" t="s">
        <v>12</v>
      </c>
      <c r="C111" s="1" t="s">
        <v>13</v>
      </c>
      <c r="D111" s="1" t="s">
        <v>18</v>
      </c>
      <c r="E111" s="1" t="n">
        <v>493</v>
      </c>
      <c r="F111" s="1" t="n">
        <v>506</v>
      </c>
      <c r="G111" s="1" t="n">
        <v>97.5</v>
      </c>
      <c r="H111" s="1" t="n">
        <v>94.6</v>
      </c>
      <c r="I111" s="1" t="n">
        <v>4</v>
      </c>
    </row>
    <row r="112" customFormat="false" ht="15.75" hidden="false" customHeight="true" outlineLevel="0" collapsed="false">
      <c r="A112" s="1" t="s">
        <v>153</v>
      </c>
      <c r="B112" s="1" t="s">
        <v>12</v>
      </c>
      <c r="C112" s="1" t="s">
        <v>13</v>
      </c>
      <c r="D112" s="1" t="s">
        <v>14</v>
      </c>
      <c r="E112" s="1" t="n">
        <v>348</v>
      </c>
      <c r="F112" s="1" t="n">
        <v>351</v>
      </c>
      <c r="G112" s="1" t="n">
        <v>53.2</v>
      </c>
      <c r="H112" s="1" t="n">
        <v>91.5</v>
      </c>
      <c r="I112" s="1" t="n">
        <v>260</v>
      </c>
    </row>
    <row r="113" customFormat="false" ht="15.75" hidden="false" customHeight="true" outlineLevel="0" collapsed="false">
      <c r="A113" s="1" t="s">
        <v>154</v>
      </c>
      <c r="B113" s="1" t="s">
        <v>12</v>
      </c>
      <c r="C113" s="1" t="s">
        <v>13</v>
      </c>
      <c r="D113" s="1" t="s">
        <v>14</v>
      </c>
      <c r="E113" s="1" t="n">
        <v>559</v>
      </c>
      <c r="F113" s="1" t="n">
        <v>561</v>
      </c>
      <c r="G113" s="1" t="n">
        <v>53</v>
      </c>
      <c r="H113" s="1" t="n">
        <v>95.8</v>
      </c>
      <c r="I113" s="1" t="n">
        <v>227</v>
      </c>
    </row>
    <row r="114" customFormat="false" ht="15.75" hidden="false" customHeight="true" outlineLevel="0" collapsed="false">
      <c r="A114" s="1" t="s">
        <v>155</v>
      </c>
      <c r="B114" s="1" t="s">
        <v>12</v>
      </c>
      <c r="C114" s="1" t="s">
        <v>13</v>
      </c>
      <c r="D114" s="1" t="s">
        <v>14</v>
      </c>
      <c r="E114" s="1" t="n">
        <v>549</v>
      </c>
      <c r="F114" s="1" t="n">
        <v>551</v>
      </c>
      <c r="G114" s="1" t="n">
        <v>53</v>
      </c>
      <c r="H114" s="1" t="n">
        <v>95.6</v>
      </c>
      <c r="I114" s="1" t="n">
        <v>227</v>
      </c>
    </row>
    <row r="115" customFormat="false" ht="15.75" hidden="false" customHeight="true" outlineLevel="0" collapsed="false">
      <c r="A115" s="1" t="s">
        <v>156</v>
      </c>
      <c r="B115" s="1" t="s">
        <v>12</v>
      </c>
      <c r="C115" s="1" t="s">
        <v>13</v>
      </c>
      <c r="D115" s="1" t="s">
        <v>14</v>
      </c>
      <c r="E115" s="1" t="n">
        <v>548</v>
      </c>
      <c r="F115" s="1" t="n">
        <v>551</v>
      </c>
      <c r="G115" s="1" t="n">
        <v>53</v>
      </c>
      <c r="H115" s="1" t="n">
        <v>95.6</v>
      </c>
      <c r="I115" s="1" t="n">
        <v>260</v>
      </c>
    </row>
    <row r="116" customFormat="false" ht="15.75" hidden="false" customHeight="true" outlineLevel="0" collapsed="false">
      <c r="A116" s="1" t="s">
        <v>157</v>
      </c>
      <c r="B116" s="1" t="s">
        <v>71</v>
      </c>
      <c r="C116" s="1" t="s">
        <v>37</v>
      </c>
      <c r="D116" s="1" t="s">
        <v>38</v>
      </c>
      <c r="E116" s="1" t="n">
        <v>35784</v>
      </c>
      <c r="F116" s="1" t="n">
        <v>35802</v>
      </c>
      <c r="G116" s="1" t="n">
        <v>0</v>
      </c>
      <c r="H116" s="1" t="n">
        <v>1436.1</v>
      </c>
      <c r="I116" s="1" t="n">
        <v>4000</v>
      </c>
    </row>
    <row r="117" customFormat="false" ht="15.75" hidden="false" customHeight="true" outlineLevel="0" collapsed="false">
      <c r="A117" s="1" t="s">
        <v>158</v>
      </c>
      <c r="B117" s="1" t="s">
        <v>20</v>
      </c>
      <c r="C117" s="1" t="s">
        <v>21</v>
      </c>
      <c r="D117" s="1" t="s">
        <v>18</v>
      </c>
      <c r="E117" s="1" t="n">
        <v>908</v>
      </c>
      <c r="F117" s="1" t="n">
        <v>916</v>
      </c>
      <c r="G117" s="1" t="n">
        <v>67.1</v>
      </c>
      <c r="H117" s="1" t="n">
        <v>101</v>
      </c>
      <c r="I117" s="1" t="n">
        <v>5000</v>
      </c>
    </row>
    <row r="118" customFormat="false" ht="15.75" hidden="false" customHeight="true" outlineLevel="0" collapsed="false">
      <c r="A118" s="1" t="s">
        <v>159</v>
      </c>
      <c r="B118" s="1" t="s">
        <v>63</v>
      </c>
      <c r="C118" s="1" t="s">
        <v>64</v>
      </c>
      <c r="D118" s="1" t="s">
        <v>98</v>
      </c>
      <c r="E118" s="1" t="n">
        <v>461</v>
      </c>
      <c r="F118" s="1" t="n">
        <v>87304</v>
      </c>
      <c r="G118" s="1" t="n">
        <v>15.7</v>
      </c>
      <c r="H118" s="1" t="n">
        <v>1868.98</v>
      </c>
      <c r="I118" s="1" t="n">
        <v>126</v>
      </c>
    </row>
    <row r="119" customFormat="false" ht="15.75" hidden="false" customHeight="true" outlineLevel="0" collapsed="false">
      <c r="A119" s="1" t="s">
        <v>160</v>
      </c>
      <c r="B119" s="1" t="s">
        <v>12</v>
      </c>
      <c r="C119" s="1" t="s">
        <v>13</v>
      </c>
      <c r="D119" s="1" t="s">
        <v>161</v>
      </c>
      <c r="E119" s="1" t="n">
        <v>519</v>
      </c>
      <c r="F119" s="1" t="n">
        <v>537</v>
      </c>
      <c r="G119" s="1" t="n">
        <v>95.1</v>
      </c>
      <c r="H119" s="1" t="n">
        <v>87</v>
      </c>
      <c r="I119" s="1" t="n">
        <v>87</v>
      </c>
    </row>
    <row r="120" customFormat="false" ht="15.75" hidden="false" customHeight="true" outlineLevel="0" collapsed="false">
      <c r="A120" s="1" t="s">
        <v>162</v>
      </c>
      <c r="B120" s="1" t="s">
        <v>23</v>
      </c>
      <c r="C120" s="1" t="s">
        <v>13</v>
      </c>
      <c r="D120" s="1" t="s">
        <v>14</v>
      </c>
      <c r="E120" s="1" t="n">
        <v>590</v>
      </c>
      <c r="F120" s="1" t="n">
        <v>600</v>
      </c>
      <c r="G120" s="1" t="n">
        <v>87.4</v>
      </c>
      <c r="H120" s="1" t="n">
        <v>96.75</v>
      </c>
      <c r="I120" s="1" t="n">
        <v>148</v>
      </c>
    </row>
    <row r="121" customFormat="false" ht="15.75" hidden="false" customHeight="true" outlineLevel="0" collapsed="false">
      <c r="A121" s="1" t="s">
        <v>163</v>
      </c>
      <c r="B121" s="1" t="s">
        <v>12</v>
      </c>
      <c r="C121" s="1" t="s">
        <v>13</v>
      </c>
      <c r="D121" s="1" t="s">
        <v>14</v>
      </c>
      <c r="E121" s="1" t="n">
        <v>549</v>
      </c>
      <c r="F121" s="1" t="n">
        <v>551</v>
      </c>
      <c r="G121" s="1" t="n">
        <v>53</v>
      </c>
      <c r="H121" s="1" t="n">
        <v>90.4</v>
      </c>
      <c r="I121" s="1" t="n">
        <v>227</v>
      </c>
    </row>
    <row r="122" customFormat="false" ht="15.75" hidden="false" customHeight="true" outlineLevel="0" collapsed="false">
      <c r="A122" s="1" t="s">
        <v>164</v>
      </c>
      <c r="B122" s="1" t="s">
        <v>12</v>
      </c>
      <c r="C122" s="1" t="s">
        <v>13</v>
      </c>
      <c r="D122" s="1" t="s">
        <v>14</v>
      </c>
      <c r="E122" s="1" t="n">
        <v>538</v>
      </c>
      <c r="F122" s="1" t="n">
        <v>541</v>
      </c>
      <c r="G122" s="1" t="n">
        <v>53.2</v>
      </c>
      <c r="H122" s="1" t="n">
        <v>95.4</v>
      </c>
      <c r="I122" s="1" t="n">
        <v>260</v>
      </c>
    </row>
    <row r="123" customFormat="false" ht="15.75" hidden="false" customHeight="true" outlineLevel="0" collapsed="false">
      <c r="A123" s="1" t="s">
        <v>165</v>
      </c>
      <c r="B123" s="1" t="s">
        <v>52</v>
      </c>
      <c r="C123" s="1" t="s">
        <v>97</v>
      </c>
      <c r="D123" s="1" t="s">
        <v>58</v>
      </c>
      <c r="E123" s="1" t="n">
        <v>500</v>
      </c>
      <c r="F123" s="1" t="n">
        <v>523</v>
      </c>
      <c r="G123" s="1" t="n">
        <v>97.5</v>
      </c>
      <c r="H123" s="1" t="n">
        <v>97.2</v>
      </c>
      <c r="I123" s="1" t="n">
        <v>4</v>
      </c>
    </row>
    <row r="124" customFormat="false" ht="15.75" hidden="false" customHeight="true" outlineLevel="0" collapsed="false">
      <c r="A124" s="1" t="s">
        <v>166</v>
      </c>
      <c r="B124" s="1" t="s">
        <v>12</v>
      </c>
      <c r="C124" s="1" t="s">
        <v>13</v>
      </c>
      <c r="D124" s="1" t="s">
        <v>14</v>
      </c>
      <c r="E124" s="1" t="n">
        <v>580</v>
      </c>
      <c r="F124" s="1" t="n">
        <v>583</v>
      </c>
      <c r="G124" s="1" t="n">
        <v>70</v>
      </c>
      <c r="H124" s="1" t="n">
        <v>96.2</v>
      </c>
      <c r="I124" s="1" t="n">
        <v>290</v>
      </c>
    </row>
    <row r="125" customFormat="false" ht="15.75" hidden="false" customHeight="true" outlineLevel="0" collapsed="false">
      <c r="A125" s="1" t="s">
        <v>167</v>
      </c>
      <c r="B125" s="1" t="s">
        <v>168</v>
      </c>
      <c r="C125" s="1" t="s">
        <v>169</v>
      </c>
      <c r="D125" s="1" t="s">
        <v>14</v>
      </c>
      <c r="E125" s="1" t="n">
        <v>35784</v>
      </c>
      <c r="F125" s="1" t="n">
        <v>35791</v>
      </c>
      <c r="G125" s="1" t="n">
        <v>0.07</v>
      </c>
      <c r="H125" s="1" t="n">
        <v>1436.16</v>
      </c>
      <c r="I125" s="1" t="n">
        <v>2900</v>
      </c>
    </row>
    <row r="126" customFormat="false" ht="15.75" hidden="false" customHeight="true" outlineLevel="0" collapsed="false">
      <c r="A126" s="1" t="s">
        <v>170</v>
      </c>
      <c r="B126" s="1" t="s">
        <v>12</v>
      </c>
      <c r="C126" s="1" t="s">
        <v>13</v>
      </c>
      <c r="D126" s="1" t="s">
        <v>14</v>
      </c>
      <c r="E126" s="1" t="n">
        <v>539</v>
      </c>
      <c r="F126" s="1" t="n">
        <v>541</v>
      </c>
      <c r="G126" s="1" t="n">
        <v>53</v>
      </c>
      <c r="H126" s="1" t="n">
        <v>95.4</v>
      </c>
      <c r="I126" s="1" t="n">
        <v>260</v>
      </c>
    </row>
    <row r="127" customFormat="false" ht="15.75" hidden="false" customHeight="true" outlineLevel="0" collapsed="false">
      <c r="A127" s="1" t="s">
        <v>171</v>
      </c>
      <c r="B127" s="1" t="s">
        <v>12</v>
      </c>
      <c r="C127" s="1" t="s">
        <v>97</v>
      </c>
      <c r="D127" s="1" t="s">
        <v>58</v>
      </c>
      <c r="E127" s="1" t="n">
        <v>522</v>
      </c>
      <c r="F127" s="1" t="n">
        <v>536</v>
      </c>
      <c r="G127" s="1" t="n">
        <v>97.5</v>
      </c>
      <c r="H127" s="1" t="n">
        <v>95.2</v>
      </c>
      <c r="I127" s="1" t="n">
        <v>1</v>
      </c>
    </row>
    <row r="128" customFormat="false" ht="15.75" hidden="false" customHeight="true" outlineLevel="0" collapsed="false">
      <c r="A128" s="1" t="s">
        <v>172</v>
      </c>
      <c r="B128" s="1" t="s">
        <v>12</v>
      </c>
      <c r="C128" s="1" t="s">
        <v>13</v>
      </c>
      <c r="D128" s="1" t="s">
        <v>14</v>
      </c>
      <c r="E128" s="1" t="n">
        <v>548</v>
      </c>
      <c r="F128" s="1" t="n">
        <v>561</v>
      </c>
      <c r="G128" s="1" t="n">
        <v>53</v>
      </c>
      <c r="H128" s="1" t="n">
        <v>95.6</v>
      </c>
      <c r="I128" s="1" t="n">
        <v>260</v>
      </c>
    </row>
    <row r="129" customFormat="false" ht="15.75" hidden="false" customHeight="true" outlineLevel="0" collapsed="false">
      <c r="A129" s="1" t="s">
        <v>173</v>
      </c>
      <c r="B129" s="1" t="s">
        <v>23</v>
      </c>
      <c r="C129" s="1" t="s">
        <v>13</v>
      </c>
      <c r="D129" s="1" t="s">
        <v>14</v>
      </c>
      <c r="E129" s="1" t="n">
        <v>8063</v>
      </c>
      <c r="F129" s="1" t="n">
        <v>8069</v>
      </c>
      <c r="G129" s="1" t="n">
        <v>0.04</v>
      </c>
      <c r="H129" s="1" t="n">
        <v>287.93</v>
      </c>
      <c r="I129" s="1" t="n">
        <v>650</v>
      </c>
    </row>
    <row r="130" customFormat="false" ht="15.75" hidden="false" customHeight="true" outlineLevel="0" collapsed="false">
      <c r="A130" s="1" t="s">
        <v>174</v>
      </c>
      <c r="B130" s="1" t="s">
        <v>12</v>
      </c>
      <c r="C130" s="1" t="s">
        <v>13</v>
      </c>
      <c r="D130" s="1" t="s">
        <v>14</v>
      </c>
      <c r="E130" s="1" t="n">
        <v>348</v>
      </c>
      <c r="F130" s="1" t="n">
        <v>351</v>
      </c>
      <c r="G130" s="1" t="n">
        <v>53.2</v>
      </c>
      <c r="H130" s="1" t="n">
        <v>91.5</v>
      </c>
      <c r="I130" s="1" t="n">
        <v>260</v>
      </c>
    </row>
    <row r="131" customFormat="false" ht="15.75" hidden="false" customHeight="true" outlineLevel="0" collapsed="false">
      <c r="A131" s="1" t="s">
        <v>175</v>
      </c>
      <c r="B131" s="1" t="s">
        <v>12</v>
      </c>
      <c r="C131" s="1" t="s">
        <v>83</v>
      </c>
      <c r="D131" s="1" t="s">
        <v>14</v>
      </c>
      <c r="E131" s="1" t="n">
        <v>610</v>
      </c>
      <c r="F131" s="1" t="n">
        <v>626</v>
      </c>
      <c r="G131" s="1" t="n">
        <v>86.6</v>
      </c>
      <c r="H131" s="1" t="n">
        <v>97</v>
      </c>
      <c r="I131" s="1" t="n">
        <v>860</v>
      </c>
    </row>
    <row r="132" customFormat="false" ht="15.75" hidden="false" customHeight="true" outlineLevel="0" collapsed="false">
      <c r="A132" s="1" t="s">
        <v>176</v>
      </c>
      <c r="B132" s="1" t="s">
        <v>12</v>
      </c>
      <c r="C132" s="1" t="s">
        <v>13</v>
      </c>
      <c r="D132" s="1" t="s">
        <v>14</v>
      </c>
      <c r="E132" s="1" t="n">
        <v>260</v>
      </c>
      <c r="F132" s="1" t="n">
        <v>280</v>
      </c>
      <c r="G132" s="1" t="n">
        <v>53</v>
      </c>
      <c r="H132" s="1" t="n">
        <v>95.6</v>
      </c>
      <c r="I132" s="1" t="n">
        <v>260</v>
      </c>
    </row>
    <row r="133" customFormat="false" ht="15.75" hidden="false" customHeight="true" outlineLevel="0" collapsed="false">
      <c r="A133" s="1" t="s">
        <v>177</v>
      </c>
      <c r="B133" s="1" t="s">
        <v>12</v>
      </c>
      <c r="C133" s="1" t="s">
        <v>13</v>
      </c>
      <c r="D133" s="1" t="s">
        <v>14</v>
      </c>
      <c r="E133" s="1" t="n">
        <v>561</v>
      </c>
      <c r="F133" s="1" t="n">
        <v>564</v>
      </c>
      <c r="G133" s="1" t="n">
        <v>97.7</v>
      </c>
      <c r="H133" s="1" t="n">
        <v>95.9</v>
      </c>
      <c r="I133" s="1" t="n">
        <v>260</v>
      </c>
    </row>
    <row r="134" customFormat="false" ht="15.75" hidden="false" customHeight="true" outlineLevel="0" collapsed="false">
      <c r="A134" s="1" t="s">
        <v>178</v>
      </c>
      <c r="B134" s="1" t="s">
        <v>12</v>
      </c>
      <c r="C134" s="1" t="s">
        <v>13</v>
      </c>
      <c r="D134" s="1" t="s">
        <v>14</v>
      </c>
      <c r="E134" s="1" t="n">
        <v>538</v>
      </c>
      <c r="F134" s="1" t="n">
        <v>541</v>
      </c>
      <c r="G134" s="1" t="n">
        <v>53.2</v>
      </c>
      <c r="H134" s="1" t="n">
        <v>95.4</v>
      </c>
      <c r="I134" s="1" t="n">
        <v>260</v>
      </c>
    </row>
    <row r="135" customFormat="false" ht="15.75" hidden="false" customHeight="true" outlineLevel="0" collapsed="false">
      <c r="A135" s="1" t="s">
        <v>179</v>
      </c>
      <c r="B135" s="1" t="s">
        <v>12</v>
      </c>
      <c r="C135" s="1" t="s">
        <v>13</v>
      </c>
      <c r="D135" s="1" t="s">
        <v>14</v>
      </c>
      <c r="E135" s="1" t="n">
        <v>548</v>
      </c>
      <c r="F135" s="1" t="n">
        <v>551</v>
      </c>
      <c r="G135" s="1" t="n">
        <v>53</v>
      </c>
      <c r="H135" s="1" t="n">
        <v>95.6</v>
      </c>
      <c r="I135" s="1" t="n">
        <v>260</v>
      </c>
    </row>
    <row r="136" customFormat="false" ht="15.75" hidden="false" customHeight="true" outlineLevel="0" collapsed="false">
      <c r="A136" s="1" t="s">
        <v>180</v>
      </c>
      <c r="B136" s="1" t="s">
        <v>181</v>
      </c>
      <c r="C136" s="1" t="s">
        <v>37</v>
      </c>
      <c r="D136" s="1" t="s">
        <v>98</v>
      </c>
      <c r="E136" s="1" t="n">
        <v>697</v>
      </c>
      <c r="F136" s="1" t="n">
        <v>708</v>
      </c>
      <c r="G136" s="1" t="n">
        <v>98.2</v>
      </c>
      <c r="H136" s="1" t="n">
        <v>98.8</v>
      </c>
      <c r="I136" s="1" t="n">
        <v>273</v>
      </c>
    </row>
    <row r="137" customFormat="false" ht="15.75" hidden="false" customHeight="true" outlineLevel="0" collapsed="false">
      <c r="A137" s="1" t="s">
        <v>182</v>
      </c>
      <c r="B137" s="1" t="s">
        <v>181</v>
      </c>
      <c r="C137" s="1" t="s">
        <v>13</v>
      </c>
      <c r="D137" s="1" t="s">
        <v>48</v>
      </c>
      <c r="E137" s="1" t="n">
        <v>23240</v>
      </c>
      <c r="F137" s="1" t="n">
        <v>23306</v>
      </c>
      <c r="G137" s="1" t="n">
        <v>54.68</v>
      </c>
      <c r="H137" s="1" t="n">
        <v>846.88</v>
      </c>
      <c r="I137" s="1" t="n">
        <v>700</v>
      </c>
    </row>
    <row r="138" customFormat="false" ht="15.75" hidden="false" customHeight="true" outlineLevel="0" collapsed="false">
      <c r="A138" s="1" t="s">
        <v>183</v>
      </c>
      <c r="B138" s="1" t="s">
        <v>12</v>
      </c>
      <c r="C138" s="1" t="s">
        <v>13</v>
      </c>
      <c r="D138" s="1" t="s">
        <v>14</v>
      </c>
      <c r="E138" s="1" t="n">
        <v>548</v>
      </c>
      <c r="F138" s="1" t="n">
        <v>561</v>
      </c>
      <c r="G138" s="1" t="n">
        <v>53</v>
      </c>
      <c r="H138" s="1" t="n">
        <v>95.6</v>
      </c>
      <c r="I138" s="1" t="n">
        <v>260</v>
      </c>
    </row>
    <row r="139" customFormat="false" ht="15.75" hidden="false" customHeight="true" outlineLevel="0" collapsed="false">
      <c r="A139" s="1" t="s">
        <v>184</v>
      </c>
      <c r="B139" s="1" t="s">
        <v>12</v>
      </c>
      <c r="C139" s="1" t="s">
        <v>13</v>
      </c>
      <c r="D139" s="1" t="s">
        <v>14</v>
      </c>
      <c r="E139" s="1" t="n">
        <v>539</v>
      </c>
      <c r="F139" s="1" t="n">
        <v>541</v>
      </c>
      <c r="G139" s="1" t="n">
        <v>53.2</v>
      </c>
      <c r="H139" s="1" t="n">
        <v>95.4</v>
      </c>
      <c r="I139" s="1" t="n">
        <v>260</v>
      </c>
    </row>
    <row r="140" customFormat="false" ht="15.75" hidden="false" customHeight="true" outlineLevel="0" collapsed="false">
      <c r="A140" s="1" t="s">
        <v>185</v>
      </c>
      <c r="B140" s="1" t="s">
        <v>186</v>
      </c>
      <c r="C140" s="1" t="s">
        <v>13</v>
      </c>
      <c r="D140" s="1" t="s">
        <v>14</v>
      </c>
      <c r="E140" s="1" t="n">
        <v>526</v>
      </c>
      <c r="F140" s="1" t="n">
        <v>535</v>
      </c>
      <c r="G140" s="1" t="n">
        <v>97.5</v>
      </c>
      <c r="H140" s="1" t="n">
        <v>95.2</v>
      </c>
      <c r="I140" s="1" t="n">
        <v>9</v>
      </c>
    </row>
    <row r="141" customFormat="false" ht="15.75" hidden="false" customHeight="true" outlineLevel="0" collapsed="false">
      <c r="A141" s="1" t="s">
        <v>187</v>
      </c>
      <c r="B141" s="1" t="s">
        <v>52</v>
      </c>
      <c r="C141" s="1" t="s">
        <v>13</v>
      </c>
      <c r="D141" s="1" t="s">
        <v>18</v>
      </c>
      <c r="E141" s="1" t="n">
        <v>531</v>
      </c>
      <c r="F141" s="1" t="n">
        <v>543</v>
      </c>
      <c r="G141" s="1" t="n">
        <v>97.5</v>
      </c>
      <c r="H141" s="1" t="n">
        <v>94.5</v>
      </c>
      <c r="I141" s="1" t="n">
        <v>43</v>
      </c>
    </row>
    <row r="142" customFormat="false" ht="15.75" hidden="false" customHeight="true" outlineLevel="0" collapsed="false">
      <c r="A142" s="1" t="s">
        <v>188</v>
      </c>
      <c r="B142" s="1" t="s">
        <v>12</v>
      </c>
      <c r="C142" s="1" t="s">
        <v>13</v>
      </c>
      <c r="D142" s="1" t="s">
        <v>14</v>
      </c>
      <c r="E142" s="1" t="n">
        <v>565</v>
      </c>
      <c r="F142" s="1" t="n">
        <v>567</v>
      </c>
      <c r="G142" s="1" t="n">
        <v>43</v>
      </c>
      <c r="H142" s="1" t="n">
        <v>95.8</v>
      </c>
      <c r="I142" s="1" t="n">
        <v>260</v>
      </c>
    </row>
    <row r="143" customFormat="false" ht="15.75" hidden="false" customHeight="true" outlineLevel="0" collapsed="false">
      <c r="A143" s="1" t="s">
        <v>189</v>
      </c>
      <c r="B143" s="1" t="s">
        <v>181</v>
      </c>
      <c r="C143" s="1" t="s">
        <v>13</v>
      </c>
      <c r="D143" s="1" t="s">
        <v>48</v>
      </c>
      <c r="E143" s="1" t="n">
        <v>23217</v>
      </c>
      <c r="F143" s="1" t="n">
        <v>23227</v>
      </c>
      <c r="G143" s="1" t="n">
        <v>55.3</v>
      </c>
      <c r="H143" s="1" t="n">
        <v>844.69</v>
      </c>
      <c r="I143" s="1" t="n">
        <v>700</v>
      </c>
    </row>
    <row r="144" customFormat="false" ht="15.75" hidden="false" customHeight="true" outlineLevel="0" collapsed="false">
      <c r="A144" s="1" t="s">
        <v>190</v>
      </c>
      <c r="B144" s="1" t="s">
        <v>12</v>
      </c>
      <c r="C144" s="1" t="s">
        <v>13</v>
      </c>
      <c r="D144" s="1" t="s">
        <v>14</v>
      </c>
      <c r="E144" s="1" t="n">
        <v>548</v>
      </c>
      <c r="F144" s="1" t="n">
        <v>561</v>
      </c>
      <c r="G144" s="1" t="n">
        <v>53</v>
      </c>
      <c r="H144" s="1" t="n">
        <v>95.6</v>
      </c>
      <c r="I144" s="1" t="n">
        <v>260</v>
      </c>
    </row>
    <row r="145" customFormat="false" ht="15.75" hidden="false" customHeight="true" outlineLevel="0" collapsed="false">
      <c r="A145" s="1" t="s">
        <v>191</v>
      </c>
      <c r="B145" s="1" t="s">
        <v>192</v>
      </c>
      <c r="C145" s="1" t="s">
        <v>13</v>
      </c>
      <c r="D145" s="1" t="s">
        <v>14</v>
      </c>
      <c r="E145" s="1" t="n">
        <v>35785</v>
      </c>
      <c r="F145" s="1" t="n">
        <v>35789</v>
      </c>
      <c r="G145" s="1" t="n">
        <v>0.04</v>
      </c>
      <c r="H145" s="1" t="n">
        <v>1436.11</v>
      </c>
      <c r="I145" s="1" t="n">
        <v>5900</v>
      </c>
    </row>
    <row r="146" customFormat="false" ht="15.75" hidden="false" customHeight="true" outlineLevel="0" collapsed="false">
      <c r="A146" s="1" t="s">
        <v>193</v>
      </c>
      <c r="B146" s="1" t="s">
        <v>12</v>
      </c>
      <c r="C146" s="1" t="s">
        <v>13</v>
      </c>
      <c r="D146" s="1" t="s">
        <v>14</v>
      </c>
      <c r="E146" s="1" t="n">
        <v>538</v>
      </c>
      <c r="F146" s="1" t="n">
        <v>541</v>
      </c>
      <c r="G146" s="1" t="n">
        <v>53.2</v>
      </c>
      <c r="H146" s="1" t="n">
        <v>95.4</v>
      </c>
      <c r="I146" s="1" t="n">
        <v>260</v>
      </c>
    </row>
    <row r="147" customFormat="false" ht="15.75" hidden="false" customHeight="true" outlineLevel="0" collapsed="false">
      <c r="A147" s="1" t="s">
        <v>194</v>
      </c>
      <c r="B147" s="1" t="s">
        <v>12</v>
      </c>
      <c r="C147" s="1" t="s">
        <v>13</v>
      </c>
      <c r="D147" s="1" t="s">
        <v>14</v>
      </c>
      <c r="E147" s="1" t="n">
        <v>538</v>
      </c>
      <c r="F147" s="1" t="n">
        <v>541</v>
      </c>
      <c r="G147" s="1" t="n">
        <v>53.2</v>
      </c>
      <c r="H147" s="1" t="n">
        <v>95.4</v>
      </c>
      <c r="I147" s="1" t="n">
        <v>260</v>
      </c>
    </row>
    <row r="148" customFormat="false" ht="15.75" hidden="false" customHeight="true" outlineLevel="0" collapsed="false">
      <c r="A148" s="1" t="s">
        <v>195</v>
      </c>
      <c r="B148" s="1" t="s">
        <v>12</v>
      </c>
      <c r="C148" s="1" t="s">
        <v>13</v>
      </c>
      <c r="D148" s="1" t="s">
        <v>14</v>
      </c>
      <c r="E148" s="1" t="n">
        <v>556</v>
      </c>
      <c r="F148" s="1" t="n">
        <v>560</v>
      </c>
      <c r="G148" s="1" t="n">
        <v>97.6</v>
      </c>
      <c r="H148" s="1" t="n">
        <v>95.8</v>
      </c>
      <c r="I148" s="1" t="n">
        <v>260</v>
      </c>
    </row>
    <row r="149" customFormat="false" ht="15.75" hidden="false" customHeight="true" outlineLevel="0" collapsed="false">
      <c r="A149" s="1" t="s">
        <v>196</v>
      </c>
      <c r="B149" s="1" t="s">
        <v>12</v>
      </c>
      <c r="C149" s="1" t="s">
        <v>13</v>
      </c>
      <c r="D149" s="1" t="s">
        <v>14</v>
      </c>
      <c r="E149" s="1" t="n">
        <v>580</v>
      </c>
      <c r="F149" s="1" t="n">
        <v>583</v>
      </c>
      <c r="G149" s="1" t="n">
        <v>70</v>
      </c>
      <c r="H149" s="1" t="n">
        <v>96.2</v>
      </c>
      <c r="I149" s="1" t="n">
        <v>290</v>
      </c>
    </row>
    <row r="150" customFormat="false" ht="15.75" hidden="false" customHeight="true" outlineLevel="0" collapsed="false">
      <c r="A150" s="1" t="s">
        <v>197</v>
      </c>
      <c r="B150" s="1" t="s">
        <v>12</v>
      </c>
      <c r="C150" s="1" t="s">
        <v>13</v>
      </c>
      <c r="D150" s="1" t="s">
        <v>14</v>
      </c>
      <c r="E150" s="1" t="n">
        <v>548</v>
      </c>
      <c r="F150" s="1" t="n">
        <v>561</v>
      </c>
      <c r="G150" s="1" t="n">
        <v>53</v>
      </c>
      <c r="H150" s="1" t="n">
        <v>95.6</v>
      </c>
      <c r="I150" s="1" t="n">
        <v>260</v>
      </c>
    </row>
    <row r="151" customFormat="false" ht="15.75" hidden="false" customHeight="true" outlineLevel="0" collapsed="false">
      <c r="A151" s="1" t="s">
        <v>198</v>
      </c>
      <c r="B151" s="1" t="s">
        <v>12</v>
      </c>
      <c r="C151" s="1" t="s">
        <v>13</v>
      </c>
      <c r="D151" s="1" t="s">
        <v>18</v>
      </c>
      <c r="E151" s="1" t="n">
        <v>518</v>
      </c>
      <c r="F151" s="1" t="n">
        <v>535</v>
      </c>
      <c r="G151" s="1" t="n">
        <v>97.5</v>
      </c>
      <c r="H151" s="1" t="n">
        <v>94.7</v>
      </c>
      <c r="I151" s="1" t="n">
        <v>6</v>
      </c>
    </row>
    <row r="152" customFormat="false" ht="15.75" hidden="false" customHeight="true" outlineLevel="0" collapsed="false">
      <c r="A152" s="1" t="s">
        <v>199</v>
      </c>
      <c r="B152" s="1" t="s">
        <v>12</v>
      </c>
      <c r="C152" s="1" t="s">
        <v>13</v>
      </c>
      <c r="D152" s="1" t="s">
        <v>14</v>
      </c>
      <c r="E152" s="1" t="n">
        <v>348</v>
      </c>
      <c r="F152" s="1" t="n">
        <v>351</v>
      </c>
      <c r="G152" s="1" t="n">
        <v>53.2</v>
      </c>
      <c r="H152" s="1" t="n">
        <v>91.5</v>
      </c>
      <c r="I152" s="1" t="n">
        <v>260</v>
      </c>
    </row>
    <row r="153" customFormat="false" ht="15.75" hidden="false" customHeight="true" outlineLevel="0" collapsed="false">
      <c r="A153" s="1" t="s">
        <v>200</v>
      </c>
      <c r="B153" s="1" t="s">
        <v>12</v>
      </c>
      <c r="C153" s="1" t="s">
        <v>13</v>
      </c>
      <c r="D153" s="1" t="s">
        <v>14</v>
      </c>
      <c r="E153" s="1" t="n">
        <v>569</v>
      </c>
      <c r="F153" s="1" t="n">
        <v>571</v>
      </c>
      <c r="G153" s="1" t="n">
        <v>97.7</v>
      </c>
      <c r="H153" s="1" t="n">
        <v>95.9</v>
      </c>
      <c r="I153" s="1" t="n">
        <v>300</v>
      </c>
    </row>
    <row r="154" customFormat="false" ht="15.75" hidden="false" customHeight="true" outlineLevel="0" collapsed="false">
      <c r="A154" s="1" t="s">
        <v>201</v>
      </c>
      <c r="B154" s="1" t="s">
        <v>12</v>
      </c>
      <c r="C154" s="1" t="s">
        <v>13</v>
      </c>
      <c r="D154" s="1" t="s">
        <v>18</v>
      </c>
      <c r="E154" s="1" t="n">
        <v>495</v>
      </c>
      <c r="F154" s="1" t="n">
        <v>502</v>
      </c>
      <c r="G154" s="1" t="n">
        <v>97.5</v>
      </c>
      <c r="H154" s="1" t="n">
        <v>94.5</v>
      </c>
      <c r="I154" s="1" t="n">
        <v>10</v>
      </c>
    </row>
    <row r="155" customFormat="false" ht="15.75" hidden="false" customHeight="true" outlineLevel="0" collapsed="false">
      <c r="A155" s="1" t="s">
        <v>202</v>
      </c>
      <c r="B155" s="1" t="s">
        <v>12</v>
      </c>
      <c r="C155" s="1" t="s">
        <v>13</v>
      </c>
      <c r="D155" s="1" t="s">
        <v>18</v>
      </c>
      <c r="E155" s="1" t="n">
        <v>428</v>
      </c>
      <c r="F155" s="1" t="n">
        <v>439</v>
      </c>
      <c r="G155" s="1" t="n">
        <v>42</v>
      </c>
      <c r="H155" s="1" t="n">
        <v>93</v>
      </c>
      <c r="I155" s="1" t="n">
        <v>55</v>
      </c>
    </row>
    <row r="156" customFormat="false" ht="15.75" hidden="false" customHeight="true" outlineLevel="0" collapsed="false">
      <c r="A156" s="1" t="s">
        <v>203</v>
      </c>
      <c r="B156" s="1" t="s">
        <v>12</v>
      </c>
      <c r="C156" s="1" t="s">
        <v>37</v>
      </c>
      <c r="D156" s="1" t="s">
        <v>98</v>
      </c>
      <c r="E156" s="1" t="n">
        <v>9999</v>
      </c>
      <c r="F156" s="1" t="n">
        <v>138825</v>
      </c>
      <c r="G156" s="1" t="n">
        <v>28.5</v>
      </c>
      <c r="H156" s="1" t="n">
        <v>3808.92</v>
      </c>
      <c r="I156" s="1" t="n">
        <v>4742</v>
      </c>
    </row>
    <row r="157" customFormat="false" ht="15.75" hidden="false" customHeight="true" outlineLevel="0" collapsed="false">
      <c r="A157" s="1" t="s">
        <v>204</v>
      </c>
      <c r="B157" s="1" t="s">
        <v>12</v>
      </c>
      <c r="C157" s="1" t="s">
        <v>13</v>
      </c>
      <c r="D157" s="1" t="s">
        <v>14</v>
      </c>
      <c r="E157" s="1" t="n">
        <v>539</v>
      </c>
      <c r="F157" s="1" t="n">
        <v>541</v>
      </c>
      <c r="G157" s="1" t="n">
        <v>53</v>
      </c>
      <c r="H157" s="1" t="n">
        <v>95.4</v>
      </c>
      <c r="I157" s="1" t="n">
        <v>260</v>
      </c>
    </row>
    <row r="158" customFormat="false" ht="15.75" hidden="false" customHeight="true" outlineLevel="0" collapsed="false">
      <c r="A158" s="1" t="s">
        <v>205</v>
      </c>
      <c r="B158" s="1" t="s">
        <v>12</v>
      </c>
      <c r="C158" s="1" t="s">
        <v>13</v>
      </c>
      <c r="D158" s="1" t="s">
        <v>14</v>
      </c>
      <c r="E158" s="1" t="n">
        <v>549</v>
      </c>
      <c r="F158" s="1" t="n">
        <v>551</v>
      </c>
      <c r="G158" s="1" t="n">
        <v>53</v>
      </c>
      <c r="H158" s="1" t="n">
        <v>90.5</v>
      </c>
      <c r="I158" s="1" t="n">
        <v>227</v>
      </c>
    </row>
    <row r="159" customFormat="false" ht="15.75" hidden="false" customHeight="true" outlineLevel="0" collapsed="false">
      <c r="A159" s="1" t="s">
        <v>206</v>
      </c>
      <c r="B159" s="1" t="s">
        <v>12</v>
      </c>
      <c r="C159" s="1" t="s">
        <v>13</v>
      </c>
      <c r="D159" s="1" t="s">
        <v>14</v>
      </c>
      <c r="E159" s="1" t="n">
        <v>348</v>
      </c>
      <c r="F159" s="1" t="n">
        <v>351</v>
      </c>
      <c r="G159" s="1" t="n">
        <v>53.2</v>
      </c>
      <c r="H159" s="1" t="n">
        <v>91.5</v>
      </c>
      <c r="I159" s="1" t="n">
        <v>260</v>
      </c>
    </row>
    <row r="160" customFormat="false" ht="15.75" hidden="false" customHeight="true" outlineLevel="0" collapsed="false">
      <c r="A160" s="1" t="s">
        <v>207</v>
      </c>
      <c r="B160" s="1" t="s">
        <v>12</v>
      </c>
      <c r="C160" s="1" t="s">
        <v>13</v>
      </c>
      <c r="D160" s="1" t="s">
        <v>14</v>
      </c>
      <c r="E160" s="1" t="n">
        <v>538</v>
      </c>
      <c r="F160" s="1" t="n">
        <v>541</v>
      </c>
      <c r="G160" s="1" t="n">
        <v>53.2</v>
      </c>
      <c r="H160" s="1" t="n">
        <v>95.4</v>
      </c>
      <c r="I160" s="1" t="n">
        <v>260</v>
      </c>
    </row>
    <row r="161" customFormat="false" ht="15.75" hidden="false" customHeight="true" outlineLevel="0" collapsed="false">
      <c r="A161" s="1" t="s">
        <v>208</v>
      </c>
      <c r="B161" s="1" t="s">
        <v>12</v>
      </c>
      <c r="C161" s="1" t="s">
        <v>13</v>
      </c>
      <c r="D161" s="1" t="s">
        <v>14</v>
      </c>
      <c r="E161" s="1" t="n">
        <v>562</v>
      </c>
      <c r="F161" s="1" t="n">
        <v>564</v>
      </c>
      <c r="G161" s="1" t="n">
        <v>97.6</v>
      </c>
      <c r="H161" s="1" t="n">
        <v>95.9</v>
      </c>
      <c r="I161" s="1" t="n">
        <v>260</v>
      </c>
    </row>
    <row r="162" customFormat="false" ht="15.75" hidden="false" customHeight="true" outlineLevel="0" collapsed="false">
      <c r="A162" s="1" t="s">
        <v>209</v>
      </c>
      <c r="B162" s="1" t="s">
        <v>12</v>
      </c>
      <c r="C162" s="1" t="s">
        <v>13</v>
      </c>
      <c r="D162" s="1" t="s">
        <v>14</v>
      </c>
      <c r="E162" s="1" t="n">
        <v>549</v>
      </c>
      <c r="F162" s="1" t="n">
        <v>551</v>
      </c>
      <c r="G162" s="1" t="n">
        <v>53</v>
      </c>
      <c r="H162" s="1" t="n">
        <v>90.5</v>
      </c>
      <c r="I162" s="1" t="n">
        <v>227</v>
      </c>
    </row>
    <row r="163" customFormat="false" ht="15.75" hidden="false" customHeight="true" outlineLevel="0" collapsed="false">
      <c r="A163" s="1" t="s">
        <v>210</v>
      </c>
      <c r="B163" s="1" t="s">
        <v>12</v>
      </c>
      <c r="C163" s="1" t="s">
        <v>13</v>
      </c>
      <c r="D163" s="1" t="s">
        <v>14</v>
      </c>
      <c r="E163" s="1" t="n">
        <v>348</v>
      </c>
      <c r="F163" s="1" t="n">
        <v>351</v>
      </c>
      <c r="G163" s="1" t="n">
        <v>53.2</v>
      </c>
      <c r="H163" s="1" t="n">
        <v>91.5</v>
      </c>
      <c r="I163" s="1" t="n">
        <v>260</v>
      </c>
    </row>
    <row r="164" customFormat="false" ht="15.75" hidden="false" customHeight="true" outlineLevel="0" collapsed="false">
      <c r="A164" s="1" t="s">
        <v>211</v>
      </c>
      <c r="B164" s="1" t="s">
        <v>12</v>
      </c>
      <c r="C164" s="1" t="s">
        <v>13</v>
      </c>
      <c r="D164" s="1" t="s">
        <v>14</v>
      </c>
      <c r="E164" s="1" t="n">
        <v>549</v>
      </c>
      <c r="F164" s="1" t="n">
        <v>551</v>
      </c>
      <c r="G164" s="1" t="n">
        <v>53</v>
      </c>
      <c r="H164" s="1" t="n">
        <v>90.4</v>
      </c>
      <c r="I164" s="1" t="n">
        <v>227</v>
      </c>
    </row>
    <row r="165" customFormat="false" ht="15.75" hidden="false" customHeight="true" outlineLevel="0" collapsed="false">
      <c r="A165" s="1" t="s">
        <v>212</v>
      </c>
      <c r="B165" s="1" t="s">
        <v>63</v>
      </c>
      <c r="C165" s="1" t="s">
        <v>13</v>
      </c>
      <c r="D165" s="1" t="s">
        <v>14</v>
      </c>
      <c r="E165" s="1" t="n">
        <v>35769</v>
      </c>
      <c r="F165" s="1" t="n">
        <v>35805</v>
      </c>
      <c r="G165" s="1" t="n">
        <v>0.04</v>
      </c>
      <c r="H165" s="1" t="n">
        <v>1436.08</v>
      </c>
      <c r="I165" s="1" t="n">
        <v>4050</v>
      </c>
    </row>
    <row r="166" customFormat="false" ht="15.75" hidden="false" customHeight="true" outlineLevel="0" collapsed="false">
      <c r="A166" s="1" t="s">
        <v>213</v>
      </c>
      <c r="B166" s="1" t="s">
        <v>12</v>
      </c>
      <c r="C166" s="1" t="s">
        <v>13</v>
      </c>
      <c r="D166" s="1" t="s">
        <v>14</v>
      </c>
      <c r="E166" s="1" t="n">
        <v>548</v>
      </c>
      <c r="F166" s="1" t="n">
        <v>551</v>
      </c>
      <c r="G166" s="1" t="n">
        <v>53</v>
      </c>
      <c r="H166" s="1" t="n">
        <v>95.6</v>
      </c>
      <c r="I166" s="1" t="n">
        <v>260</v>
      </c>
    </row>
    <row r="167" customFormat="false" ht="15.75" hidden="false" customHeight="true" outlineLevel="0" collapsed="false">
      <c r="A167" s="1" t="s">
        <v>214</v>
      </c>
      <c r="B167" s="1" t="s">
        <v>12</v>
      </c>
      <c r="C167" s="1" t="s">
        <v>13</v>
      </c>
      <c r="D167" s="1" t="s">
        <v>14</v>
      </c>
      <c r="E167" s="1" t="n">
        <v>577</v>
      </c>
      <c r="F167" s="1" t="n">
        <v>581</v>
      </c>
      <c r="G167" s="1" t="n">
        <v>70</v>
      </c>
      <c r="H167" s="1" t="n">
        <v>96.1</v>
      </c>
      <c r="I167" s="1" t="n">
        <v>290</v>
      </c>
    </row>
    <row r="168" customFormat="false" ht="15.75" hidden="false" customHeight="true" outlineLevel="0" collapsed="false">
      <c r="A168" s="1" t="s">
        <v>215</v>
      </c>
      <c r="B168" s="1" t="s">
        <v>12</v>
      </c>
      <c r="C168" s="1" t="s">
        <v>13</v>
      </c>
      <c r="D168" s="1" t="s">
        <v>14</v>
      </c>
      <c r="E168" s="1" t="n">
        <v>565</v>
      </c>
      <c r="F168" s="1" t="n">
        <v>567</v>
      </c>
      <c r="G168" s="1" t="n">
        <v>43</v>
      </c>
      <c r="H168" s="1" t="n">
        <v>95.8</v>
      </c>
      <c r="I168" s="1" t="n">
        <v>290</v>
      </c>
    </row>
    <row r="169" customFormat="false" ht="15.75" hidden="false" customHeight="true" outlineLevel="0" collapsed="false">
      <c r="A169" s="1" t="s">
        <v>216</v>
      </c>
      <c r="B169" s="1" t="s">
        <v>12</v>
      </c>
      <c r="C169" s="1" t="s">
        <v>13</v>
      </c>
      <c r="D169" s="1" t="s">
        <v>14</v>
      </c>
      <c r="E169" s="1" t="n">
        <v>348</v>
      </c>
      <c r="F169" s="1" t="n">
        <v>351</v>
      </c>
      <c r="G169" s="1" t="n">
        <v>53.2</v>
      </c>
      <c r="H169" s="1" t="n">
        <v>91.5</v>
      </c>
      <c r="I169" s="1" t="n">
        <v>260</v>
      </c>
    </row>
    <row r="170" customFormat="false" ht="15.75" hidden="false" customHeight="true" outlineLevel="0" collapsed="false">
      <c r="A170" s="1" t="s">
        <v>217</v>
      </c>
      <c r="B170" s="1" t="s">
        <v>12</v>
      </c>
      <c r="C170" s="1" t="s">
        <v>13</v>
      </c>
      <c r="D170" s="1" t="s">
        <v>14</v>
      </c>
      <c r="E170" s="1" t="n">
        <v>538</v>
      </c>
      <c r="F170" s="1" t="n">
        <v>541</v>
      </c>
      <c r="G170" s="1" t="n">
        <v>53.2</v>
      </c>
      <c r="H170" s="1" t="n">
        <v>95.4</v>
      </c>
      <c r="I170" s="1" t="n">
        <v>260</v>
      </c>
    </row>
    <row r="171" customFormat="false" ht="15.75" hidden="false" customHeight="true" outlineLevel="0" collapsed="false">
      <c r="A171" s="1" t="s">
        <v>218</v>
      </c>
      <c r="B171" s="1" t="s">
        <v>36</v>
      </c>
      <c r="C171" s="1" t="s">
        <v>21</v>
      </c>
      <c r="D171" s="1" t="s">
        <v>18</v>
      </c>
      <c r="E171" s="1" t="n">
        <v>567</v>
      </c>
      <c r="F171" s="1" t="n">
        <v>577</v>
      </c>
      <c r="G171" s="1" t="n">
        <v>36.9</v>
      </c>
      <c r="H171" s="1" t="n">
        <v>580</v>
      </c>
      <c r="I171" s="1" t="n">
        <v>630</v>
      </c>
    </row>
    <row r="172" customFormat="false" ht="15.75" hidden="false" customHeight="true" outlineLevel="0" collapsed="false">
      <c r="A172" s="1" t="s">
        <v>219</v>
      </c>
      <c r="B172" s="1" t="s">
        <v>12</v>
      </c>
      <c r="C172" s="1" t="s">
        <v>13</v>
      </c>
      <c r="D172" s="1" t="s">
        <v>14</v>
      </c>
      <c r="E172" s="1" t="n">
        <v>548</v>
      </c>
      <c r="F172" s="1" t="n">
        <v>561</v>
      </c>
      <c r="G172" s="1" t="n">
        <v>53</v>
      </c>
      <c r="H172" s="1" t="n">
        <v>95.6</v>
      </c>
      <c r="I172" s="1" t="n">
        <v>260</v>
      </c>
    </row>
    <row r="173" customFormat="false" ht="15.75" hidden="false" customHeight="true" outlineLevel="0" collapsed="false">
      <c r="A173" s="1" t="s">
        <v>220</v>
      </c>
      <c r="B173" s="1" t="s">
        <v>12</v>
      </c>
      <c r="C173" s="1" t="s">
        <v>13</v>
      </c>
      <c r="D173" s="1" t="s">
        <v>14</v>
      </c>
      <c r="E173" s="1" t="n">
        <v>549</v>
      </c>
      <c r="F173" s="1" t="n">
        <v>551</v>
      </c>
      <c r="G173" s="1" t="n">
        <v>53</v>
      </c>
      <c r="H173" s="1" t="n">
        <v>90.3</v>
      </c>
      <c r="I173" s="1" t="n">
        <v>227</v>
      </c>
    </row>
    <row r="174" customFormat="false" ht="15.75" hidden="false" customHeight="true" outlineLevel="0" collapsed="false">
      <c r="A174" s="1" t="s">
        <v>221</v>
      </c>
      <c r="B174" s="1" t="s">
        <v>12</v>
      </c>
      <c r="C174" s="1" t="s">
        <v>13</v>
      </c>
      <c r="D174" s="1" t="s">
        <v>14</v>
      </c>
      <c r="E174" s="1" t="n">
        <v>549</v>
      </c>
      <c r="F174" s="1" t="n">
        <v>551</v>
      </c>
      <c r="G174" s="1" t="n">
        <v>53</v>
      </c>
      <c r="H174" s="1" t="n">
        <v>90.4</v>
      </c>
      <c r="I174" s="1" t="n">
        <v>227</v>
      </c>
    </row>
    <row r="175" customFormat="false" ht="15.75" hidden="false" customHeight="true" outlineLevel="0" collapsed="false">
      <c r="A175" s="1" t="s">
        <v>222</v>
      </c>
      <c r="B175" s="1" t="s">
        <v>12</v>
      </c>
      <c r="C175" s="1" t="s">
        <v>13</v>
      </c>
      <c r="D175" s="1" t="s">
        <v>14</v>
      </c>
      <c r="E175" s="1" t="n">
        <v>565</v>
      </c>
      <c r="F175" s="1" t="n">
        <v>567</v>
      </c>
      <c r="G175" s="1" t="n">
        <v>43</v>
      </c>
      <c r="H175" s="1" t="n">
        <v>95</v>
      </c>
      <c r="I175" s="1" t="n">
        <v>290</v>
      </c>
    </row>
    <row r="176" customFormat="false" ht="15.75" hidden="false" customHeight="true" outlineLevel="0" collapsed="false">
      <c r="A176" s="1" t="s">
        <v>223</v>
      </c>
      <c r="B176" s="1" t="s">
        <v>224</v>
      </c>
      <c r="C176" s="1" t="s">
        <v>13</v>
      </c>
      <c r="D176" s="1" t="s">
        <v>18</v>
      </c>
      <c r="E176" s="1" t="n">
        <v>523</v>
      </c>
      <c r="F176" s="1" t="n">
        <v>536</v>
      </c>
      <c r="G176" s="1" t="n">
        <v>97.5</v>
      </c>
      <c r="H176" s="1" t="n">
        <v>95.2</v>
      </c>
      <c r="I176" s="1" t="n">
        <v>80</v>
      </c>
    </row>
    <row r="177" customFormat="false" ht="15.75" hidden="false" customHeight="true" outlineLevel="0" collapsed="false">
      <c r="A177" s="1" t="s">
        <v>225</v>
      </c>
      <c r="B177" s="1" t="s">
        <v>12</v>
      </c>
      <c r="C177" s="1" t="s">
        <v>13</v>
      </c>
      <c r="D177" s="1" t="s">
        <v>14</v>
      </c>
      <c r="E177" s="1" t="n">
        <v>556</v>
      </c>
      <c r="F177" s="1" t="n">
        <v>560</v>
      </c>
      <c r="G177" s="1" t="n">
        <v>97.6</v>
      </c>
      <c r="H177" s="1" t="n">
        <v>95.8</v>
      </c>
      <c r="I177" s="1" t="n">
        <v>260</v>
      </c>
    </row>
    <row r="178" customFormat="false" ht="15.75" hidden="false" customHeight="true" outlineLevel="0" collapsed="false">
      <c r="A178" s="1" t="s">
        <v>226</v>
      </c>
      <c r="B178" s="1" t="s">
        <v>12</v>
      </c>
      <c r="C178" s="1" t="s">
        <v>13</v>
      </c>
      <c r="D178" s="1" t="s">
        <v>14</v>
      </c>
      <c r="E178" s="1" t="n">
        <v>565</v>
      </c>
      <c r="F178" s="1" t="n">
        <v>567</v>
      </c>
      <c r="G178" s="1" t="n">
        <v>43</v>
      </c>
      <c r="H178" s="1" t="n">
        <v>95</v>
      </c>
      <c r="I178" s="1" t="n">
        <v>290</v>
      </c>
    </row>
    <row r="179" customFormat="false" ht="15.75" hidden="false" customHeight="true" outlineLevel="0" collapsed="false">
      <c r="A179" s="1" t="s">
        <v>227</v>
      </c>
      <c r="B179" s="1" t="s">
        <v>12</v>
      </c>
      <c r="C179" s="1" t="s">
        <v>13</v>
      </c>
      <c r="D179" s="1" t="s">
        <v>14</v>
      </c>
      <c r="E179" s="1" t="n">
        <v>538</v>
      </c>
      <c r="F179" s="1" t="n">
        <v>541</v>
      </c>
      <c r="G179" s="1" t="n">
        <v>53.2</v>
      </c>
      <c r="H179" s="1" t="n">
        <v>95.4</v>
      </c>
      <c r="I179" s="1" t="n">
        <v>260</v>
      </c>
    </row>
    <row r="180" customFormat="false" ht="15.75" hidden="false" customHeight="true" outlineLevel="0" collapsed="false">
      <c r="A180" s="1" t="s">
        <v>228</v>
      </c>
      <c r="B180" s="1" t="s">
        <v>12</v>
      </c>
      <c r="C180" s="1" t="s">
        <v>13</v>
      </c>
      <c r="D180" s="1" t="s">
        <v>14</v>
      </c>
      <c r="E180" s="1" t="n">
        <v>569</v>
      </c>
      <c r="F180" s="1" t="n">
        <v>571</v>
      </c>
      <c r="G180" s="1" t="n">
        <v>97.7</v>
      </c>
      <c r="H180" s="1" t="n">
        <v>95.9</v>
      </c>
      <c r="I180" s="1" t="n">
        <v>300</v>
      </c>
    </row>
    <row r="181" customFormat="false" ht="15.75" hidden="false" customHeight="true" outlineLevel="0" collapsed="false">
      <c r="A181" s="1" t="s">
        <v>229</v>
      </c>
      <c r="B181" s="1" t="s">
        <v>12</v>
      </c>
      <c r="C181" s="1" t="s">
        <v>13</v>
      </c>
      <c r="D181" s="1" t="s">
        <v>14</v>
      </c>
      <c r="E181" s="1" t="n">
        <v>565</v>
      </c>
      <c r="F181" s="1" t="n">
        <v>567</v>
      </c>
      <c r="G181" s="1" t="n">
        <v>43</v>
      </c>
      <c r="H181" s="1" t="n">
        <v>95.8</v>
      </c>
      <c r="I181" s="1" t="n">
        <v>290</v>
      </c>
    </row>
    <row r="182" customFormat="false" ht="15.75" hidden="false" customHeight="true" outlineLevel="0" collapsed="false">
      <c r="A182" s="1" t="s">
        <v>230</v>
      </c>
      <c r="B182" s="1" t="s">
        <v>12</v>
      </c>
      <c r="C182" s="1" t="s">
        <v>13</v>
      </c>
      <c r="D182" s="1" t="s">
        <v>14</v>
      </c>
      <c r="E182" s="1" t="n">
        <v>516</v>
      </c>
      <c r="F182" s="1" t="n">
        <v>536</v>
      </c>
      <c r="G182" s="1" t="n">
        <v>97.5</v>
      </c>
      <c r="H182" s="1" t="n">
        <v>94.3</v>
      </c>
      <c r="I182" s="1" t="n">
        <v>2</v>
      </c>
    </row>
    <row r="183" customFormat="false" ht="15.75" hidden="false" customHeight="true" outlineLevel="0" collapsed="false">
      <c r="A183" s="1" t="s">
        <v>231</v>
      </c>
      <c r="B183" s="1" t="s">
        <v>12</v>
      </c>
      <c r="C183" s="1" t="s">
        <v>13</v>
      </c>
      <c r="D183" s="1" t="s">
        <v>14</v>
      </c>
      <c r="E183" s="1" t="n">
        <v>548</v>
      </c>
      <c r="F183" s="1" t="n">
        <v>561</v>
      </c>
      <c r="G183" s="1" t="n">
        <v>53</v>
      </c>
      <c r="H183" s="1" t="n">
        <v>95.6</v>
      </c>
      <c r="I183" s="1" t="n">
        <v>260</v>
      </c>
    </row>
    <row r="184" customFormat="false" ht="15.75" hidden="false" customHeight="true" outlineLevel="0" collapsed="false">
      <c r="A184" s="1" t="s">
        <v>232</v>
      </c>
      <c r="B184" s="1" t="s">
        <v>23</v>
      </c>
      <c r="C184" s="1" t="s">
        <v>13</v>
      </c>
      <c r="D184" s="1" t="s">
        <v>14</v>
      </c>
      <c r="E184" s="1" t="n">
        <v>1200</v>
      </c>
      <c r="F184" s="1" t="n">
        <v>1202</v>
      </c>
      <c r="G184" s="1" t="n">
        <v>87.4</v>
      </c>
      <c r="H184" s="1" t="n">
        <v>109.6</v>
      </c>
      <c r="I184" s="1" t="n">
        <v>148</v>
      </c>
    </row>
    <row r="185" customFormat="false" ht="15.75" hidden="false" customHeight="true" outlineLevel="0" collapsed="false">
      <c r="A185" s="1" t="s">
        <v>233</v>
      </c>
      <c r="B185" s="1" t="s">
        <v>12</v>
      </c>
      <c r="C185" s="1" t="s">
        <v>13</v>
      </c>
      <c r="D185" s="1" t="s">
        <v>14</v>
      </c>
      <c r="E185" s="1" t="n">
        <v>549</v>
      </c>
      <c r="F185" s="1" t="n">
        <v>551</v>
      </c>
      <c r="G185" s="1" t="n">
        <v>53</v>
      </c>
      <c r="H185" s="1" t="n">
        <v>91.2</v>
      </c>
      <c r="I185" s="1" t="n">
        <v>227</v>
      </c>
    </row>
    <row r="186" customFormat="false" ht="15.75" hidden="false" customHeight="true" outlineLevel="0" collapsed="false">
      <c r="A186" s="1" t="s">
        <v>234</v>
      </c>
      <c r="B186" s="1" t="s">
        <v>12</v>
      </c>
      <c r="C186" s="1" t="s">
        <v>13</v>
      </c>
      <c r="D186" s="1" t="s">
        <v>58</v>
      </c>
      <c r="E186" s="1" t="n">
        <v>500</v>
      </c>
      <c r="F186" s="1" t="n">
        <v>802</v>
      </c>
      <c r="G186" s="1" t="n">
        <v>64.6</v>
      </c>
      <c r="H186" s="1" t="n">
        <v>97.4</v>
      </c>
      <c r="I186" s="1" t="n">
        <v>2</v>
      </c>
    </row>
    <row r="187" customFormat="false" ht="15.75" hidden="false" customHeight="true" outlineLevel="0" collapsed="false">
      <c r="A187" s="1" t="s">
        <v>235</v>
      </c>
      <c r="B187" s="1" t="s">
        <v>12</v>
      </c>
      <c r="C187" s="1" t="s">
        <v>13</v>
      </c>
      <c r="D187" s="1" t="s">
        <v>14</v>
      </c>
      <c r="E187" s="1" t="n">
        <v>348</v>
      </c>
      <c r="F187" s="1" t="n">
        <v>351</v>
      </c>
      <c r="G187" s="1" t="n">
        <v>53.2</v>
      </c>
      <c r="H187" s="1" t="n">
        <v>91.5</v>
      </c>
      <c r="I187" s="1" t="n">
        <v>260</v>
      </c>
    </row>
    <row r="188" customFormat="false" ht="15.75" hidden="false" customHeight="true" outlineLevel="0" collapsed="false">
      <c r="A188" s="1" t="s">
        <v>236</v>
      </c>
      <c r="B188" s="1" t="s">
        <v>12</v>
      </c>
      <c r="C188" s="1" t="s">
        <v>13</v>
      </c>
      <c r="D188" s="1" t="s">
        <v>14</v>
      </c>
      <c r="E188" s="1" t="n">
        <v>522</v>
      </c>
      <c r="F188" s="1" t="n">
        <v>533</v>
      </c>
      <c r="G188" s="1" t="n">
        <v>97.5</v>
      </c>
      <c r="H188" s="1" t="n">
        <v>94.3</v>
      </c>
      <c r="I188" s="1" t="n">
        <v>2</v>
      </c>
    </row>
    <row r="189" customFormat="false" ht="15.75" hidden="false" customHeight="true" outlineLevel="0" collapsed="false">
      <c r="A189" s="1" t="s">
        <v>237</v>
      </c>
      <c r="B189" s="1" t="s">
        <v>56</v>
      </c>
      <c r="C189" s="1" t="s">
        <v>13</v>
      </c>
      <c r="D189" s="1" t="s">
        <v>14</v>
      </c>
      <c r="E189" s="1" t="n">
        <v>35774</v>
      </c>
      <c r="F189" s="1" t="n">
        <v>35797</v>
      </c>
      <c r="G189" s="1" t="n">
        <v>0.02</v>
      </c>
      <c r="H189" s="1" t="n">
        <v>1436.08</v>
      </c>
      <c r="I189" s="1" t="n">
        <v>2300</v>
      </c>
    </row>
    <row r="190" customFormat="false" ht="15.75" hidden="false" customHeight="true" outlineLevel="0" collapsed="false">
      <c r="A190" s="1" t="s">
        <v>238</v>
      </c>
      <c r="B190" s="1" t="s">
        <v>12</v>
      </c>
      <c r="C190" s="1" t="s">
        <v>13</v>
      </c>
      <c r="D190" s="1" t="s">
        <v>14</v>
      </c>
      <c r="E190" s="1" t="n">
        <v>539</v>
      </c>
      <c r="F190" s="1" t="n">
        <v>541</v>
      </c>
      <c r="G190" s="1" t="n">
        <v>53</v>
      </c>
      <c r="H190" s="1" t="n">
        <v>95.4</v>
      </c>
      <c r="I190" s="1" t="n">
        <v>260</v>
      </c>
    </row>
    <row r="191" customFormat="false" ht="15.75" hidden="false" customHeight="true" outlineLevel="0" collapsed="false">
      <c r="A191" s="1" t="s">
        <v>239</v>
      </c>
      <c r="B191" s="1" t="s">
        <v>12</v>
      </c>
      <c r="C191" s="1" t="s">
        <v>13</v>
      </c>
      <c r="D191" s="1" t="s">
        <v>14</v>
      </c>
      <c r="E191" s="1" t="n">
        <v>539</v>
      </c>
      <c r="F191" s="1" t="n">
        <v>541</v>
      </c>
      <c r="G191" s="1" t="n">
        <v>53</v>
      </c>
      <c r="H191" s="1" t="n">
        <v>95.4</v>
      </c>
      <c r="I191" s="1" t="n">
        <v>260</v>
      </c>
    </row>
    <row r="192" customFormat="false" ht="15.75" hidden="false" customHeight="true" outlineLevel="0" collapsed="false">
      <c r="A192" s="1" t="s">
        <v>240</v>
      </c>
      <c r="B192" s="1" t="s">
        <v>12</v>
      </c>
      <c r="C192" s="1" t="s">
        <v>13</v>
      </c>
      <c r="D192" s="1" t="s">
        <v>18</v>
      </c>
      <c r="E192" s="1" t="n">
        <v>495</v>
      </c>
      <c r="F192" s="1" t="n">
        <v>506</v>
      </c>
      <c r="G192" s="1" t="n">
        <v>97.5</v>
      </c>
      <c r="H192" s="1" t="n">
        <v>94.6</v>
      </c>
      <c r="I192" s="1" t="n">
        <v>4</v>
      </c>
    </row>
    <row r="193" customFormat="false" ht="15.75" hidden="false" customHeight="true" outlineLevel="0" collapsed="false">
      <c r="A193" s="1" t="s">
        <v>241</v>
      </c>
      <c r="B193" s="1" t="s">
        <v>52</v>
      </c>
      <c r="C193" s="1" t="s">
        <v>37</v>
      </c>
      <c r="D193" s="1" t="s">
        <v>18</v>
      </c>
      <c r="E193" s="1" t="n">
        <v>586</v>
      </c>
      <c r="F193" s="1" t="n">
        <v>601</v>
      </c>
      <c r="G193" s="1" t="n">
        <v>97.5</v>
      </c>
      <c r="H193" s="1" t="n">
        <v>96.6</v>
      </c>
      <c r="I193" s="1" t="n">
        <v>204</v>
      </c>
    </row>
    <row r="194" customFormat="false" ht="15.75" hidden="false" customHeight="true" outlineLevel="0" collapsed="false">
      <c r="A194" s="1" t="s">
        <v>242</v>
      </c>
      <c r="B194" s="1" t="s">
        <v>52</v>
      </c>
      <c r="C194" s="1" t="s">
        <v>21</v>
      </c>
      <c r="D194" s="1" t="s">
        <v>58</v>
      </c>
      <c r="E194" s="1" t="n">
        <v>668</v>
      </c>
      <c r="F194" s="1" t="n">
        <v>672</v>
      </c>
      <c r="G194" s="1" t="n">
        <v>98.06</v>
      </c>
      <c r="H194" s="1" t="n">
        <v>98.15</v>
      </c>
    </row>
    <row r="195" customFormat="false" ht="15.75" hidden="false" customHeight="true" outlineLevel="0" collapsed="false">
      <c r="A195" s="1" t="s">
        <v>243</v>
      </c>
      <c r="B195" s="1" t="s">
        <v>12</v>
      </c>
      <c r="C195" s="1" t="s">
        <v>13</v>
      </c>
      <c r="D195" s="1" t="s">
        <v>14</v>
      </c>
      <c r="E195" s="1" t="n">
        <v>538</v>
      </c>
      <c r="F195" s="1" t="n">
        <v>541</v>
      </c>
      <c r="G195" s="1" t="n">
        <v>53.2</v>
      </c>
      <c r="H195" s="1" t="n">
        <v>95.4</v>
      </c>
      <c r="I195" s="1" t="n">
        <v>260</v>
      </c>
    </row>
    <row r="196" customFormat="false" ht="15.75" hidden="false" customHeight="true" outlineLevel="0" collapsed="false">
      <c r="A196" s="1" t="s">
        <v>244</v>
      </c>
      <c r="B196" s="1" t="s">
        <v>23</v>
      </c>
      <c r="C196" s="1" t="s">
        <v>13</v>
      </c>
      <c r="D196" s="1" t="s">
        <v>14</v>
      </c>
      <c r="E196" s="1" t="n">
        <v>1215</v>
      </c>
      <c r="F196" s="1" t="n">
        <v>1220</v>
      </c>
      <c r="G196" s="1" t="n">
        <v>87.4</v>
      </c>
      <c r="H196" s="1" t="n">
        <v>93.5</v>
      </c>
      <c r="I196" s="1" t="n">
        <v>148</v>
      </c>
    </row>
    <row r="197" customFormat="false" ht="15.75" hidden="false" customHeight="true" outlineLevel="0" collapsed="false">
      <c r="A197" s="1" t="s">
        <v>245</v>
      </c>
      <c r="B197" s="1" t="s">
        <v>52</v>
      </c>
      <c r="C197" s="1" t="s">
        <v>13</v>
      </c>
      <c r="D197" s="1" t="s">
        <v>14</v>
      </c>
      <c r="E197" s="1" t="n">
        <v>35864</v>
      </c>
      <c r="F197" s="1" t="n">
        <v>35874</v>
      </c>
      <c r="G197" s="1" t="n">
        <v>0.03</v>
      </c>
      <c r="H197" s="1" t="n">
        <v>1440.31</v>
      </c>
      <c r="I197" s="1" t="n">
        <v>5054</v>
      </c>
    </row>
    <row r="198" customFormat="false" ht="15.75" hidden="false" customHeight="true" outlineLevel="0" collapsed="false">
      <c r="A198" s="1" t="s">
        <v>246</v>
      </c>
      <c r="B198" s="1" t="s">
        <v>23</v>
      </c>
      <c r="C198" s="1" t="s">
        <v>13</v>
      </c>
      <c r="D198" s="1" t="s">
        <v>14</v>
      </c>
      <c r="E198" s="1" t="n">
        <v>655</v>
      </c>
      <c r="F198" s="1" t="n">
        <v>670</v>
      </c>
      <c r="G198" s="1" t="n">
        <v>86.9</v>
      </c>
      <c r="H198" s="1" t="n">
        <v>98</v>
      </c>
      <c r="I198" s="1" t="n">
        <v>148</v>
      </c>
    </row>
    <row r="199" customFormat="false" ht="15.75" hidden="false" customHeight="true" outlineLevel="0" collapsed="false">
      <c r="A199" s="1" t="s">
        <v>247</v>
      </c>
      <c r="B199" s="1" t="s">
        <v>52</v>
      </c>
      <c r="C199" s="1" t="s">
        <v>13</v>
      </c>
      <c r="D199" s="1" t="s">
        <v>18</v>
      </c>
      <c r="E199" s="1" t="n">
        <v>491</v>
      </c>
      <c r="F199" s="1" t="n">
        <v>496</v>
      </c>
      <c r="G199" s="1" t="n">
        <v>97.4</v>
      </c>
      <c r="H199" s="1" t="n">
        <v>94.5</v>
      </c>
      <c r="I199" s="1" t="n">
        <v>42</v>
      </c>
    </row>
    <row r="200" customFormat="false" ht="15.75" hidden="false" customHeight="true" outlineLevel="0" collapsed="false">
      <c r="A200" s="1" t="s">
        <v>248</v>
      </c>
      <c r="B200" s="1" t="s">
        <v>12</v>
      </c>
      <c r="C200" s="1" t="s">
        <v>13</v>
      </c>
      <c r="D200" s="1" t="s">
        <v>18</v>
      </c>
      <c r="E200" s="1" t="n">
        <v>608</v>
      </c>
      <c r="F200" s="1" t="n">
        <v>612</v>
      </c>
      <c r="G200" s="1" t="n">
        <v>97.8</v>
      </c>
      <c r="H200" s="1" t="n">
        <v>94.5</v>
      </c>
      <c r="I200" s="1" t="n">
        <v>10</v>
      </c>
    </row>
    <row r="201" customFormat="false" ht="15.75" hidden="false" customHeight="true" outlineLevel="0" collapsed="false">
      <c r="A201" s="1" t="s">
        <v>249</v>
      </c>
      <c r="B201" s="1" t="s">
        <v>12</v>
      </c>
      <c r="C201" s="1" t="s">
        <v>13</v>
      </c>
      <c r="D201" s="1" t="s">
        <v>14</v>
      </c>
      <c r="E201" s="1" t="n">
        <v>539</v>
      </c>
      <c r="F201" s="1" t="n">
        <v>541</v>
      </c>
      <c r="G201" s="1" t="n">
        <v>53</v>
      </c>
      <c r="H201" s="1" t="n">
        <v>95.4</v>
      </c>
      <c r="I201" s="1" t="n">
        <v>260</v>
      </c>
    </row>
    <row r="202" customFormat="false" ht="15.75" hidden="false" customHeight="true" outlineLevel="0" collapsed="false">
      <c r="A202" s="1" t="s">
        <v>250</v>
      </c>
      <c r="B202" s="1" t="s">
        <v>12</v>
      </c>
      <c r="C202" s="1" t="s">
        <v>13</v>
      </c>
      <c r="D202" s="1" t="s">
        <v>14</v>
      </c>
      <c r="E202" s="1" t="n">
        <v>549</v>
      </c>
      <c r="F202" s="1" t="n">
        <v>551</v>
      </c>
      <c r="G202" s="1" t="n">
        <v>53</v>
      </c>
      <c r="H202" s="1" t="n">
        <v>90.4</v>
      </c>
      <c r="I202" s="1" t="n">
        <v>227</v>
      </c>
    </row>
    <row r="203" customFormat="false" ht="15.75" hidden="false" customHeight="true" outlineLevel="0" collapsed="false">
      <c r="A203" s="1" t="s">
        <v>251</v>
      </c>
      <c r="B203" s="1" t="s">
        <v>12</v>
      </c>
      <c r="C203" s="1" t="s">
        <v>13</v>
      </c>
      <c r="D203" s="1" t="s">
        <v>14</v>
      </c>
      <c r="E203" s="1" t="n">
        <v>548</v>
      </c>
      <c r="F203" s="1" t="n">
        <v>561</v>
      </c>
      <c r="G203" s="1" t="n">
        <v>53</v>
      </c>
      <c r="H203" s="1" t="n">
        <v>95.6</v>
      </c>
      <c r="I203" s="1" t="n">
        <v>260</v>
      </c>
    </row>
    <row r="204" customFormat="false" ht="15.75" hidden="false" customHeight="true" outlineLevel="0" collapsed="false">
      <c r="A204" s="1" t="s">
        <v>252</v>
      </c>
      <c r="B204" s="1" t="s">
        <v>12</v>
      </c>
      <c r="C204" s="1" t="s">
        <v>13</v>
      </c>
      <c r="D204" s="1" t="s">
        <v>14</v>
      </c>
      <c r="E204" s="1" t="n">
        <v>538</v>
      </c>
      <c r="F204" s="1" t="n">
        <v>541</v>
      </c>
      <c r="G204" s="1" t="n">
        <v>53.2</v>
      </c>
      <c r="H204" s="1" t="n">
        <v>95.4</v>
      </c>
      <c r="I204" s="1" t="n">
        <v>260</v>
      </c>
    </row>
    <row r="205" customFormat="false" ht="15.75" hidden="false" customHeight="true" outlineLevel="0" collapsed="false">
      <c r="A205" s="1" t="s">
        <v>253</v>
      </c>
      <c r="B205" s="1" t="s">
        <v>96</v>
      </c>
      <c r="C205" s="1" t="s">
        <v>97</v>
      </c>
      <c r="D205" s="1" t="s">
        <v>161</v>
      </c>
      <c r="E205" s="1" t="n">
        <v>535</v>
      </c>
      <c r="F205" s="1" t="n">
        <v>556</v>
      </c>
      <c r="G205" s="1" t="n">
        <v>97.6</v>
      </c>
      <c r="H205" s="1" t="n">
        <v>95.5</v>
      </c>
      <c r="I205" s="1" t="n">
        <v>1</v>
      </c>
    </row>
    <row r="206" customFormat="false" ht="15.75" hidden="false" customHeight="true" outlineLevel="0" collapsed="false">
      <c r="A206" s="1" t="s">
        <v>254</v>
      </c>
      <c r="B206" s="1" t="s">
        <v>36</v>
      </c>
      <c r="C206" s="1" t="s">
        <v>37</v>
      </c>
      <c r="D206" s="1" t="s">
        <v>18</v>
      </c>
      <c r="E206" s="1" t="n">
        <v>35722</v>
      </c>
      <c r="F206" s="1" t="n">
        <v>35851</v>
      </c>
      <c r="G206" s="1" t="n">
        <v>0.03</v>
      </c>
      <c r="H206" s="1" t="n">
        <v>1436.1</v>
      </c>
      <c r="I206" s="1" t="n">
        <v>2200</v>
      </c>
    </row>
    <row r="207" customFormat="false" ht="15.75" hidden="false" customHeight="true" outlineLevel="0" collapsed="false">
      <c r="A207" s="1" t="s">
        <v>255</v>
      </c>
      <c r="B207" s="1" t="s">
        <v>12</v>
      </c>
      <c r="C207" s="1" t="s">
        <v>13</v>
      </c>
      <c r="D207" s="1" t="s">
        <v>14</v>
      </c>
      <c r="E207" s="1" t="n">
        <v>539</v>
      </c>
      <c r="F207" s="1" t="n">
        <v>541</v>
      </c>
      <c r="G207" s="1" t="n">
        <v>53</v>
      </c>
      <c r="H207" s="1" t="n">
        <v>95.4</v>
      </c>
      <c r="I207" s="1" t="n">
        <v>260</v>
      </c>
    </row>
    <row r="208" customFormat="false" ht="15.75" hidden="false" customHeight="true" outlineLevel="0" collapsed="false">
      <c r="A208" s="1" t="s">
        <v>256</v>
      </c>
      <c r="B208" s="1" t="s">
        <v>192</v>
      </c>
      <c r="C208" s="1" t="s">
        <v>97</v>
      </c>
      <c r="D208" s="1" t="s">
        <v>58</v>
      </c>
      <c r="E208" s="1" t="n">
        <v>517</v>
      </c>
      <c r="F208" s="1" t="n">
        <v>518</v>
      </c>
      <c r="G208" s="1" t="n">
        <v>97.4</v>
      </c>
      <c r="H208" s="1" t="n">
        <v>94.5</v>
      </c>
      <c r="I208" s="1" t="n">
        <v>60</v>
      </c>
    </row>
    <row r="209" customFormat="false" ht="15.75" hidden="false" customHeight="true" outlineLevel="0" collapsed="false">
      <c r="A209" s="1" t="s">
        <v>257</v>
      </c>
      <c r="B209" s="1" t="s">
        <v>52</v>
      </c>
      <c r="C209" s="1" t="s">
        <v>37</v>
      </c>
      <c r="D209" s="1" t="s">
        <v>18</v>
      </c>
      <c r="E209" s="1" t="n">
        <v>965</v>
      </c>
      <c r="F209" s="1" t="n">
        <v>967</v>
      </c>
      <c r="G209" s="1" t="n">
        <v>99.4</v>
      </c>
      <c r="H209" s="1" t="n">
        <v>104.4</v>
      </c>
      <c r="I209" s="1" t="n">
        <v>1500</v>
      </c>
    </row>
    <row r="210" customFormat="false" ht="15.75" hidden="false" customHeight="true" outlineLevel="0" collapsed="false">
      <c r="A210" s="1" t="s">
        <v>258</v>
      </c>
      <c r="B210" s="1" t="s">
        <v>12</v>
      </c>
      <c r="C210" s="1" t="s">
        <v>13</v>
      </c>
      <c r="D210" s="1" t="s">
        <v>14</v>
      </c>
      <c r="E210" s="1" t="n">
        <v>549</v>
      </c>
      <c r="F210" s="1" t="n">
        <v>551</v>
      </c>
      <c r="G210" s="1" t="n">
        <v>53</v>
      </c>
      <c r="H210" s="1" t="n">
        <v>90.5</v>
      </c>
      <c r="I210" s="1" t="n">
        <v>227</v>
      </c>
    </row>
    <row r="211" customFormat="false" ht="15.75" hidden="false" customHeight="true" outlineLevel="0" collapsed="false">
      <c r="A211" s="1" t="s">
        <v>259</v>
      </c>
      <c r="B211" s="1" t="s">
        <v>52</v>
      </c>
      <c r="C211" s="1" t="s">
        <v>13</v>
      </c>
      <c r="D211" s="1" t="s">
        <v>18</v>
      </c>
      <c r="E211" s="1" t="n">
        <v>521</v>
      </c>
      <c r="F211" s="1" t="n">
        <v>538</v>
      </c>
      <c r="G211" s="1" t="n">
        <v>97.5</v>
      </c>
      <c r="H211" s="1" t="n">
        <v>95.2</v>
      </c>
      <c r="I211" s="1" t="n">
        <v>95</v>
      </c>
    </row>
    <row r="212" customFormat="false" ht="15.75" hidden="false" customHeight="true" outlineLevel="0" collapsed="false">
      <c r="A212" s="1" t="s">
        <v>260</v>
      </c>
      <c r="B212" s="1" t="s">
        <v>20</v>
      </c>
      <c r="C212" s="1" t="s">
        <v>13</v>
      </c>
      <c r="D212" s="1" t="s">
        <v>14</v>
      </c>
      <c r="E212" s="1" t="n">
        <v>35784</v>
      </c>
      <c r="F212" s="1" t="n">
        <v>35788</v>
      </c>
      <c r="G212" s="1" t="n">
        <v>0.03</v>
      </c>
      <c r="H212" s="1" t="n">
        <v>1436.09</v>
      </c>
      <c r="I212" s="1" t="n">
        <v>2100</v>
      </c>
    </row>
    <row r="213" customFormat="false" ht="15.75" hidden="false" customHeight="true" outlineLevel="0" collapsed="false">
      <c r="A213" s="1" t="s">
        <v>261</v>
      </c>
      <c r="B213" s="1" t="s">
        <v>12</v>
      </c>
      <c r="C213" s="1" t="s">
        <v>13</v>
      </c>
      <c r="D213" s="1" t="s">
        <v>14</v>
      </c>
      <c r="E213" s="1" t="n">
        <v>538</v>
      </c>
      <c r="F213" s="1" t="n">
        <v>541</v>
      </c>
      <c r="G213" s="1" t="n">
        <v>53.2</v>
      </c>
      <c r="H213" s="1" t="n">
        <v>95.4</v>
      </c>
      <c r="I213" s="1" t="n">
        <v>260</v>
      </c>
    </row>
    <row r="214" customFormat="false" ht="15.75" hidden="false" customHeight="true" outlineLevel="0" collapsed="false">
      <c r="A214" s="1" t="s">
        <v>262</v>
      </c>
      <c r="B214" s="1" t="s">
        <v>12</v>
      </c>
      <c r="C214" s="1" t="s">
        <v>13</v>
      </c>
      <c r="D214" s="1" t="s">
        <v>14</v>
      </c>
      <c r="E214" s="1" t="n">
        <v>538</v>
      </c>
      <c r="F214" s="1" t="n">
        <v>541</v>
      </c>
      <c r="G214" s="1" t="n">
        <v>53.2</v>
      </c>
      <c r="H214" s="1" t="n">
        <v>95.4</v>
      </c>
      <c r="I214" s="1" t="n">
        <v>260</v>
      </c>
    </row>
    <row r="215" customFormat="false" ht="15.75" hidden="false" customHeight="true" outlineLevel="0" collapsed="false">
      <c r="A215" s="1" t="s">
        <v>263</v>
      </c>
      <c r="B215" s="1" t="s">
        <v>52</v>
      </c>
      <c r="C215" s="1" t="s">
        <v>13</v>
      </c>
      <c r="D215" s="1" t="s">
        <v>58</v>
      </c>
      <c r="E215" s="1" t="n">
        <v>584</v>
      </c>
      <c r="F215" s="1" t="n">
        <v>604</v>
      </c>
      <c r="G215" s="1" t="n">
        <v>35</v>
      </c>
      <c r="H215" s="1" t="n">
        <v>96.6</v>
      </c>
      <c r="I215" s="1" t="n">
        <v>9</v>
      </c>
    </row>
    <row r="216" customFormat="false" ht="15.75" hidden="false" customHeight="true" outlineLevel="0" collapsed="false">
      <c r="A216" s="1" t="s">
        <v>264</v>
      </c>
      <c r="B216" s="1" t="s">
        <v>23</v>
      </c>
      <c r="C216" s="1" t="s">
        <v>83</v>
      </c>
      <c r="D216" s="1" t="s">
        <v>18</v>
      </c>
      <c r="E216" s="1" t="n">
        <v>586</v>
      </c>
      <c r="F216" s="1" t="n">
        <v>600</v>
      </c>
      <c r="G216" s="1" t="n">
        <v>97.8</v>
      </c>
      <c r="H216" s="1" t="n">
        <v>96</v>
      </c>
      <c r="I216" s="1" t="n">
        <v>430</v>
      </c>
    </row>
    <row r="217" customFormat="false" ht="15.75" hidden="false" customHeight="true" outlineLevel="0" collapsed="false">
      <c r="A217" s="1" t="s">
        <v>265</v>
      </c>
      <c r="B217" s="1" t="s">
        <v>12</v>
      </c>
      <c r="C217" s="1" t="s">
        <v>37</v>
      </c>
      <c r="D217" s="1" t="s">
        <v>18</v>
      </c>
      <c r="E217" s="1" t="n">
        <v>514</v>
      </c>
      <c r="F217" s="1" t="n">
        <v>533</v>
      </c>
      <c r="G217" s="1" t="n">
        <v>34.96</v>
      </c>
      <c r="H217" s="1" t="n">
        <v>95.1</v>
      </c>
      <c r="I217" s="1" t="n">
        <v>29</v>
      </c>
    </row>
    <row r="218" customFormat="false" ht="15.75" hidden="false" customHeight="true" outlineLevel="0" collapsed="false">
      <c r="A218" s="1" t="s">
        <v>266</v>
      </c>
      <c r="B218" s="1" t="s">
        <v>12</v>
      </c>
      <c r="C218" s="1" t="s">
        <v>13</v>
      </c>
      <c r="D218" s="1" t="s">
        <v>14</v>
      </c>
      <c r="E218" s="1" t="n">
        <v>562</v>
      </c>
      <c r="F218" s="1" t="n">
        <v>564</v>
      </c>
      <c r="G218" s="1" t="n">
        <v>53.2</v>
      </c>
      <c r="H218" s="1" t="n">
        <v>95.9</v>
      </c>
      <c r="I218" s="1" t="n">
        <v>260</v>
      </c>
    </row>
    <row r="219" customFormat="false" ht="15.75" hidden="false" customHeight="true" outlineLevel="0" collapsed="false">
      <c r="A219" s="1" t="s">
        <v>267</v>
      </c>
      <c r="B219" s="1" t="s">
        <v>23</v>
      </c>
      <c r="C219" s="1" t="s">
        <v>13</v>
      </c>
      <c r="D219" s="1" t="s">
        <v>14</v>
      </c>
      <c r="E219" s="1" t="n">
        <v>733</v>
      </c>
      <c r="F219" s="1" t="n">
        <v>738</v>
      </c>
      <c r="G219" s="1" t="n">
        <v>87.1</v>
      </c>
      <c r="H219" s="1" t="n">
        <v>99.4</v>
      </c>
      <c r="I219" s="1" t="n">
        <v>148</v>
      </c>
    </row>
    <row r="220" customFormat="false" ht="15.75" hidden="false" customHeight="true" outlineLevel="0" collapsed="false">
      <c r="A220" s="1" t="s">
        <v>268</v>
      </c>
      <c r="B220" s="1" t="s">
        <v>23</v>
      </c>
      <c r="C220" s="1" t="s">
        <v>13</v>
      </c>
      <c r="D220" s="1" t="s">
        <v>14</v>
      </c>
      <c r="E220" s="1" t="n">
        <v>1215</v>
      </c>
      <c r="F220" s="1" t="n">
        <v>1220</v>
      </c>
      <c r="G220" s="1" t="n">
        <v>87.4</v>
      </c>
      <c r="H220" s="1" t="n">
        <v>93.5</v>
      </c>
      <c r="I220" s="1" t="n">
        <v>148</v>
      </c>
    </row>
    <row r="221" customFormat="false" ht="15.75" hidden="false" customHeight="true" outlineLevel="0" collapsed="false">
      <c r="A221" s="1" t="s">
        <v>269</v>
      </c>
      <c r="B221" s="1" t="s">
        <v>181</v>
      </c>
      <c r="C221" s="1" t="s">
        <v>13</v>
      </c>
      <c r="D221" s="1" t="s">
        <v>48</v>
      </c>
      <c r="E221" s="1" t="n">
        <v>23265</v>
      </c>
      <c r="F221" s="1" t="n">
        <v>23305</v>
      </c>
      <c r="G221" s="1" t="n">
        <v>54.6</v>
      </c>
      <c r="H221" s="1" t="n">
        <v>847</v>
      </c>
      <c r="I221" s="1" t="n">
        <v>723</v>
      </c>
    </row>
    <row r="222" customFormat="false" ht="15.75" hidden="false" customHeight="true" outlineLevel="0" collapsed="false">
      <c r="A222" s="1" t="s">
        <v>270</v>
      </c>
      <c r="B222" s="1" t="s">
        <v>271</v>
      </c>
      <c r="C222" s="1" t="s">
        <v>13</v>
      </c>
      <c r="D222" s="1" t="s">
        <v>14</v>
      </c>
      <c r="E222" s="1" t="n">
        <v>35785</v>
      </c>
      <c r="F222" s="1" t="n">
        <v>35787</v>
      </c>
      <c r="G222" s="1" t="n">
        <v>0.05</v>
      </c>
      <c r="H222" s="1" t="n">
        <v>1436.11</v>
      </c>
      <c r="I222" s="1" t="n">
        <v>5648</v>
      </c>
    </row>
    <row r="223" customFormat="false" ht="15.75" hidden="false" customHeight="true" outlineLevel="0" collapsed="false">
      <c r="A223" s="1" t="s">
        <v>272</v>
      </c>
      <c r="B223" s="1" t="s">
        <v>12</v>
      </c>
      <c r="C223" s="1" t="s">
        <v>13</v>
      </c>
      <c r="D223" s="1" t="s">
        <v>14</v>
      </c>
      <c r="E223" s="1" t="n">
        <v>548</v>
      </c>
      <c r="F223" s="1" t="n">
        <v>551</v>
      </c>
      <c r="G223" s="1" t="n">
        <v>53</v>
      </c>
      <c r="H223" s="1" t="n">
        <v>95.6</v>
      </c>
      <c r="I223" s="1" t="n">
        <v>260</v>
      </c>
    </row>
    <row r="224" customFormat="false" ht="15.75" hidden="false" customHeight="true" outlineLevel="0" collapsed="false">
      <c r="A224" s="1" t="s">
        <v>273</v>
      </c>
      <c r="B224" s="1" t="s">
        <v>12</v>
      </c>
      <c r="C224" s="1" t="s">
        <v>13</v>
      </c>
      <c r="D224" s="1" t="s">
        <v>18</v>
      </c>
      <c r="E224" s="1" t="n">
        <v>485</v>
      </c>
      <c r="F224" s="1" t="n">
        <v>500</v>
      </c>
      <c r="G224" s="1" t="n">
        <v>97.5</v>
      </c>
      <c r="H224" s="1" t="n">
        <v>94.5</v>
      </c>
      <c r="I224" s="1" t="n">
        <v>10</v>
      </c>
    </row>
    <row r="225" customFormat="false" ht="15.75" hidden="false" customHeight="true" outlineLevel="0" collapsed="false">
      <c r="A225" s="1" t="s">
        <v>274</v>
      </c>
      <c r="B225" s="1" t="s">
        <v>134</v>
      </c>
      <c r="C225" s="1" t="s">
        <v>21</v>
      </c>
      <c r="D225" s="1" t="s">
        <v>18</v>
      </c>
      <c r="E225" s="1" t="n">
        <v>683</v>
      </c>
      <c r="F225" s="1" t="n">
        <v>683</v>
      </c>
      <c r="G225" s="1" t="n">
        <v>98.1</v>
      </c>
      <c r="H225" s="1" t="n">
        <v>98.42</v>
      </c>
      <c r="I225" s="1" t="n">
        <v>1060</v>
      </c>
    </row>
    <row r="226" customFormat="false" ht="15.75" hidden="false" customHeight="true" outlineLevel="0" collapsed="false">
      <c r="A226" s="1" t="s">
        <v>275</v>
      </c>
      <c r="B226" s="1" t="s">
        <v>12</v>
      </c>
      <c r="C226" s="1" t="s">
        <v>13</v>
      </c>
      <c r="D226" s="1" t="s">
        <v>14</v>
      </c>
      <c r="E226" s="1" t="n">
        <v>348</v>
      </c>
      <c r="F226" s="1" t="n">
        <v>351</v>
      </c>
      <c r="G226" s="1" t="n">
        <v>53.2</v>
      </c>
      <c r="H226" s="1" t="n">
        <v>91.5</v>
      </c>
      <c r="I226" s="1" t="n">
        <v>260</v>
      </c>
    </row>
    <row r="227" customFormat="false" ht="15.75" hidden="false" customHeight="true" outlineLevel="0" collapsed="false">
      <c r="A227" s="1" t="s">
        <v>276</v>
      </c>
      <c r="B227" s="1" t="s">
        <v>12</v>
      </c>
      <c r="C227" s="1" t="s">
        <v>13</v>
      </c>
      <c r="D227" s="1" t="s">
        <v>18</v>
      </c>
      <c r="E227" s="1" t="n">
        <v>479</v>
      </c>
      <c r="F227" s="1" t="n">
        <v>506</v>
      </c>
      <c r="G227" s="1" t="n">
        <v>97.5</v>
      </c>
      <c r="H227" s="1" t="n">
        <v>94.3</v>
      </c>
      <c r="I227" s="1" t="n">
        <v>10</v>
      </c>
    </row>
    <row r="228" customFormat="false" ht="15.75" hidden="false" customHeight="true" outlineLevel="0" collapsed="false">
      <c r="A228" s="1" t="s">
        <v>277</v>
      </c>
      <c r="B228" s="1" t="s">
        <v>181</v>
      </c>
      <c r="C228" s="1" t="s">
        <v>13</v>
      </c>
      <c r="D228" s="1" t="s">
        <v>48</v>
      </c>
      <c r="E228" s="1" t="n">
        <v>22982</v>
      </c>
      <c r="F228" s="1" t="n">
        <v>22982</v>
      </c>
      <c r="G228" s="1" t="n">
        <v>54.6</v>
      </c>
      <c r="H228" s="1" t="n">
        <v>834</v>
      </c>
      <c r="I228" s="1" t="n">
        <v>723</v>
      </c>
    </row>
    <row r="229" customFormat="false" ht="15.75" hidden="false" customHeight="true" outlineLevel="0" collapsed="false">
      <c r="A229" s="1" t="s">
        <v>278</v>
      </c>
      <c r="B229" s="1" t="s">
        <v>12</v>
      </c>
      <c r="C229" s="1" t="s">
        <v>13</v>
      </c>
      <c r="D229" s="1" t="s">
        <v>14</v>
      </c>
      <c r="E229" s="1" t="n">
        <v>548</v>
      </c>
      <c r="F229" s="1" t="n">
        <v>551</v>
      </c>
      <c r="G229" s="1" t="n">
        <v>53</v>
      </c>
      <c r="H229" s="1" t="n">
        <v>95.6</v>
      </c>
      <c r="I229" s="1" t="n">
        <v>260</v>
      </c>
    </row>
    <row r="230" customFormat="false" ht="15.75" hidden="false" customHeight="true" outlineLevel="0" collapsed="false">
      <c r="A230" s="1" t="s">
        <v>279</v>
      </c>
      <c r="B230" s="1" t="s">
        <v>186</v>
      </c>
      <c r="C230" s="1" t="s">
        <v>13</v>
      </c>
      <c r="D230" s="1" t="s">
        <v>14</v>
      </c>
      <c r="E230" s="1" t="n">
        <v>35777</v>
      </c>
      <c r="F230" s="1" t="n">
        <v>35795</v>
      </c>
      <c r="G230" s="1" t="n">
        <v>0.02</v>
      </c>
      <c r="H230" s="1" t="n">
        <v>1436.1</v>
      </c>
      <c r="I230" s="1" t="n">
        <v>4500</v>
      </c>
    </row>
    <row r="231" customFormat="false" ht="15.75" hidden="false" customHeight="true" outlineLevel="0" collapsed="false">
      <c r="A231" s="1" t="s">
        <v>280</v>
      </c>
      <c r="B231" s="1" t="s">
        <v>12</v>
      </c>
      <c r="C231" s="1" t="s">
        <v>13</v>
      </c>
      <c r="D231" s="1" t="s">
        <v>281</v>
      </c>
      <c r="E231" s="1" t="n">
        <v>577</v>
      </c>
      <c r="F231" s="1" t="n">
        <v>590</v>
      </c>
      <c r="G231" s="1" t="n">
        <v>97.7</v>
      </c>
      <c r="H231" s="1" t="n">
        <v>96.3</v>
      </c>
      <c r="I231" s="1" t="n">
        <v>15</v>
      </c>
    </row>
    <row r="232" customFormat="false" ht="15.75" hidden="false" customHeight="true" outlineLevel="0" collapsed="false">
      <c r="A232" s="1" t="s">
        <v>282</v>
      </c>
      <c r="B232" s="1" t="s">
        <v>12</v>
      </c>
      <c r="C232" s="1" t="s">
        <v>13</v>
      </c>
      <c r="D232" s="1" t="s">
        <v>14</v>
      </c>
      <c r="E232" s="1" t="n">
        <v>348</v>
      </c>
      <c r="F232" s="1" t="n">
        <v>351</v>
      </c>
      <c r="G232" s="1" t="n">
        <v>53.2</v>
      </c>
      <c r="H232" s="1" t="n">
        <v>91.5</v>
      </c>
      <c r="I232" s="1" t="n">
        <v>260</v>
      </c>
    </row>
    <row r="233" customFormat="false" ht="15.75" hidden="false" customHeight="true" outlineLevel="0" collapsed="false">
      <c r="A233" s="1" t="s">
        <v>283</v>
      </c>
      <c r="B233" s="1" t="s">
        <v>23</v>
      </c>
      <c r="C233" s="1" t="s">
        <v>13</v>
      </c>
      <c r="D233" s="1" t="s">
        <v>14</v>
      </c>
      <c r="E233" s="1" t="n">
        <v>1215</v>
      </c>
      <c r="F233" s="1" t="n">
        <v>1220</v>
      </c>
      <c r="G233" s="1" t="n">
        <v>87.4</v>
      </c>
      <c r="H233" s="1" t="n">
        <v>93.8</v>
      </c>
      <c r="I233" s="1" t="n">
        <v>148</v>
      </c>
    </row>
    <row r="234" customFormat="false" ht="15.75" hidden="false" customHeight="true" outlineLevel="0" collapsed="false">
      <c r="A234" s="1" t="s">
        <v>284</v>
      </c>
      <c r="B234" s="1" t="s">
        <v>12</v>
      </c>
      <c r="C234" s="1" t="s">
        <v>64</v>
      </c>
      <c r="D234" s="1" t="s">
        <v>58</v>
      </c>
      <c r="E234" s="1" t="n">
        <v>491</v>
      </c>
      <c r="F234" s="1" t="n">
        <v>511</v>
      </c>
      <c r="G234" s="1" t="n">
        <v>85.03</v>
      </c>
      <c r="H234" s="1" t="n">
        <v>94.6</v>
      </c>
      <c r="I234" s="1" t="n">
        <v>4</v>
      </c>
    </row>
    <row r="235" customFormat="false" ht="15.75" hidden="false" customHeight="true" outlineLevel="0" collapsed="false">
      <c r="A235" s="1" t="s">
        <v>285</v>
      </c>
      <c r="B235" s="1" t="s">
        <v>12</v>
      </c>
      <c r="C235" s="1" t="s">
        <v>13</v>
      </c>
      <c r="D235" s="1" t="s">
        <v>14</v>
      </c>
      <c r="E235" s="1" t="n">
        <v>348</v>
      </c>
      <c r="F235" s="1" t="n">
        <v>351</v>
      </c>
      <c r="G235" s="1" t="n">
        <v>53.2</v>
      </c>
      <c r="H235" s="1" t="n">
        <v>91.5</v>
      </c>
      <c r="I235" s="1" t="n">
        <v>260</v>
      </c>
    </row>
    <row r="236" customFormat="false" ht="15.75" hidden="false" customHeight="true" outlineLevel="0" collapsed="false">
      <c r="A236" s="1" t="s">
        <v>286</v>
      </c>
      <c r="B236" s="1" t="s">
        <v>12</v>
      </c>
      <c r="C236" s="1" t="s">
        <v>13</v>
      </c>
      <c r="D236" s="1" t="s">
        <v>14</v>
      </c>
      <c r="E236" s="1" t="n">
        <v>539</v>
      </c>
      <c r="F236" s="1" t="n">
        <v>541</v>
      </c>
      <c r="G236" s="1" t="n">
        <v>53</v>
      </c>
      <c r="H236" s="1" t="n">
        <v>95.4</v>
      </c>
      <c r="I236" s="1" t="n">
        <v>260</v>
      </c>
    </row>
    <row r="237" customFormat="false" ht="15.75" hidden="false" customHeight="true" outlineLevel="0" collapsed="false">
      <c r="A237" s="1" t="s">
        <v>287</v>
      </c>
      <c r="B237" s="1" t="s">
        <v>12</v>
      </c>
      <c r="C237" s="1" t="s">
        <v>13</v>
      </c>
      <c r="D237" s="1" t="s">
        <v>14</v>
      </c>
      <c r="E237" s="1" t="n">
        <v>260</v>
      </c>
      <c r="F237" s="1" t="n">
        <v>280</v>
      </c>
      <c r="G237" s="1" t="n">
        <v>53</v>
      </c>
      <c r="H237" s="1" t="n">
        <v>95.6</v>
      </c>
      <c r="I237" s="1" t="n">
        <v>260</v>
      </c>
    </row>
    <row r="238" customFormat="false" ht="15.75" hidden="false" customHeight="true" outlineLevel="0" collapsed="false">
      <c r="A238" s="1" t="s">
        <v>288</v>
      </c>
      <c r="B238" s="1" t="s">
        <v>12</v>
      </c>
      <c r="C238" s="1" t="s">
        <v>13</v>
      </c>
      <c r="D238" s="1" t="s">
        <v>14</v>
      </c>
      <c r="E238" s="1" t="n">
        <v>549</v>
      </c>
      <c r="F238" s="1" t="n">
        <v>551</v>
      </c>
      <c r="G238" s="1" t="n">
        <v>53</v>
      </c>
      <c r="H238" s="1" t="n">
        <v>90.5</v>
      </c>
      <c r="I238" s="1" t="n">
        <v>227</v>
      </c>
    </row>
    <row r="239" customFormat="false" ht="15.75" hidden="false" customHeight="true" outlineLevel="0" collapsed="false">
      <c r="A239" s="1" t="s">
        <v>289</v>
      </c>
      <c r="B239" s="1" t="s">
        <v>12</v>
      </c>
      <c r="C239" s="1" t="s">
        <v>13</v>
      </c>
      <c r="D239" s="1" t="s">
        <v>14</v>
      </c>
      <c r="E239" s="1" t="n">
        <v>565</v>
      </c>
      <c r="F239" s="1" t="n">
        <v>567</v>
      </c>
      <c r="G239" s="1" t="n">
        <v>43</v>
      </c>
      <c r="H239" s="1" t="n">
        <v>95.8</v>
      </c>
      <c r="I239" s="1" t="n">
        <v>260</v>
      </c>
    </row>
    <row r="240" customFormat="false" ht="15.75" hidden="false" customHeight="true" outlineLevel="0" collapsed="false">
      <c r="A240" s="1" t="s">
        <v>290</v>
      </c>
      <c r="B240" s="1" t="s">
        <v>12</v>
      </c>
      <c r="C240" s="1" t="s">
        <v>13</v>
      </c>
      <c r="D240" s="1" t="s">
        <v>14</v>
      </c>
      <c r="E240" s="1" t="n">
        <v>580</v>
      </c>
      <c r="F240" s="1" t="n">
        <v>583</v>
      </c>
      <c r="G240" s="1" t="n">
        <v>70</v>
      </c>
      <c r="H240" s="1" t="n">
        <v>96.2</v>
      </c>
      <c r="I240" s="1" t="n">
        <v>290</v>
      </c>
    </row>
    <row r="241" customFormat="false" ht="15.75" hidden="false" customHeight="true" outlineLevel="0" collapsed="false">
      <c r="A241" s="1" t="s">
        <v>291</v>
      </c>
      <c r="B241" s="1" t="s">
        <v>12</v>
      </c>
      <c r="C241" s="1" t="s">
        <v>13</v>
      </c>
      <c r="D241" s="1" t="s">
        <v>14</v>
      </c>
      <c r="E241" s="1" t="n">
        <v>565</v>
      </c>
      <c r="F241" s="1" t="n">
        <v>567</v>
      </c>
      <c r="G241" s="1" t="n">
        <v>43</v>
      </c>
      <c r="H241" s="1" t="n">
        <v>95.8</v>
      </c>
      <c r="I241" s="1" t="n">
        <v>290</v>
      </c>
    </row>
    <row r="242" customFormat="false" ht="15.75" hidden="false" customHeight="true" outlineLevel="0" collapsed="false">
      <c r="A242" s="1" t="s">
        <v>292</v>
      </c>
      <c r="B242" s="1" t="s">
        <v>12</v>
      </c>
      <c r="C242" s="1" t="s">
        <v>13</v>
      </c>
      <c r="D242" s="1" t="s">
        <v>14</v>
      </c>
      <c r="E242" s="1" t="n">
        <v>549</v>
      </c>
      <c r="F242" s="1" t="n">
        <v>551</v>
      </c>
      <c r="G242" s="1" t="n">
        <v>53</v>
      </c>
      <c r="H242" s="1" t="n">
        <v>90.4</v>
      </c>
      <c r="I242" s="1" t="n">
        <v>227</v>
      </c>
    </row>
    <row r="243" customFormat="false" ht="15.75" hidden="false" customHeight="true" outlineLevel="0" collapsed="false">
      <c r="A243" s="1" t="s">
        <v>293</v>
      </c>
      <c r="B243" s="1" t="s">
        <v>12</v>
      </c>
      <c r="C243" s="1" t="s">
        <v>13</v>
      </c>
      <c r="D243" s="1" t="s">
        <v>14</v>
      </c>
      <c r="E243" s="1" t="n">
        <v>404</v>
      </c>
      <c r="F243" s="1" t="n">
        <v>406</v>
      </c>
      <c r="G243" s="1" t="n">
        <v>53.2</v>
      </c>
      <c r="H243" s="1" t="n">
        <v>92.7</v>
      </c>
      <c r="I243" s="1" t="n">
        <v>260</v>
      </c>
    </row>
    <row r="244" customFormat="false" ht="15.75" hidden="false" customHeight="true" outlineLevel="0" collapsed="false">
      <c r="A244" s="1" t="s">
        <v>294</v>
      </c>
      <c r="B244" s="1" t="s">
        <v>12</v>
      </c>
      <c r="C244" s="1" t="s">
        <v>13</v>
      </c>
      <c r="D244" s="1" t="s">
        <v>14</v>
      </c>
      <c r="E244" s="1" t="n">
        <v>349</v>
      </c>
      <c r="F244" s="1" t="n">
        <v>350</v>
      </c>
      <c r="G244" s="1" t="n">
        <v>53.2</v>
      </c>
      <c r="H244" s="1" t="n">
        <v>91.5</v>
      </c>
      <c r="I244" s="1" t="n">
        <v>260</v>
      </c>
    </row>
    <row r="245" customFormat="false" ht="15.75" hidden="false" customHeight="true" outlineLevel="0" collapsed="false">
      <c r="A245" s="1" t="s">
        <v>295</v>
      </c>
      <c r="B245" s="1" t="s">
        <v>12</v>
      </c>
      <c r="C245" s="1" t="s">
        <v>13</v>
      </c>
      <c r="D245" s="1" t="s">
        <v>58</v>
      </c>
      <c r="E245" s="1" t="n">
        <v>518</v>
      </c>
      <c r="F245" s="1" t="n">
        <v>534</v>
      </c>
      <c r="G245" s="1" t="n">
        <v>97.5</v>
      </c>
      <c r="H245" s="1" t="n">
        <v>95</v>
      </c>
      <c r="I245" s="1" t="n">
        <v>363</v>
      </c>
    </row>
    <row r="246" customFormat="false" ht="15.75" hidden="false" customHeight="true" outlineLevel="0" collapsed="false">
      <c r="A246" s="1" t="s">
        <v>296</v>
      </c>
      <c r="B246" s="1" t="s">
        <v>12</v>
      </c>
      <c r="C246" s="1" t="s">
        <v>13</v>
      </c>
      <c r="D246" s="1" t="s">
        <v>14</v>
      </c>
      <c r="E246" s="1" t="n">
        <v>378</v>
      </c>
      <c r="F246" s="1" t="n">
        <v>381</v>
      </c>
      <c r="G246" s="1" t="n">
        <v>53</v>
      </c>
      <c r="H246" s="1" t="n">
        <v>96.5</v>
      </c>
      <c r="I246" s="1" t="n">
        <v>227</v>
      </c>
    </row>
    <row r="247" customFormat="false" ht="15.75" hidden="false" customHeight="true" outlineLevel="0" collapsed="false">
      <c r="A247" s="1" t="s">
        <v>297</v>
      </c>
      <c r="B247" s="1" t="s">
        <v>23</v>
      </c>
      <c r="C247" s="1" t="s">
        <v>13</v>
      </c>
      <c r="D247" s="1" t="s">
        <v>14</v>
      </c>
      <c r="E247" s="1" t="n">
        <v>1215</v>
      </c>
      <c r="F247" s="1" t="n">
        <v>1220</v>
      </c>
      <c r="G247" s="1" t="n">
        <v>87.4</v>
      </c>
      <c r="H247" s="1" t="n">
        <v>93.5</v>
      </c>
      <c r="I247" s="1" t="n">
        <v>148</v>
      </c>
    </row>
    <row r="248" customFormat="false" ht="15.75" hidden="false" customHeight="true" outlineLevel="0" collapsed="false">
      <c r="A248" s="1" t="s">
        <v>298</v>
      </c>
      <c r="B248" s="1" t="s">
        <v>12</v>
      </c>
      <c r="C248" s="1" t="s">
        <v>13</v>
      </c>
      <c r="D248" s="1" t="s">
        <v>14</v>
      </c>
      <c r="E248" s="1" t="n">
        <v>580</v>
      </c>
      <c r="F248" s="1" t="n">
        <v>583</v>
      </c>
      <c r="G248" s="1" t="n">
        <v>70</v>
      </c>
      <c r="H248" s="1" t="n">
        <v>96.2</v>
      </c>
      <c r="I248" s="1" t="n">
        <v>290</v>
      </c>
    </row>
    <row r="249" customFormat="false" ht="15.75" hidden="false" customHeight="true" outlineLevel="0" collapsed="false">
      <c r="A249" s="1" t="s">
        <v>299</v>
      </c>
      <c r="B249" s="1" t="s">
        <v>12</v>
      </c>
      <c r="C249" s="1" t="s">
        <v>13</v>
      </c>
      <c r="D249" s="1" t="s">
        <v>14</v>
      </c>
      <c r="E249" s="1" t="n">
        <v>348</v>
      </c>
      <c r="F249" s="1" t="n">
        <v>351</v>
      </c>
      <c r="G249" s="1" t="n">
        <v>53.2</v>
      </c>
      <c r="H249" s="1" t="n">
        <v>91.5</v>
      </c>
      <c r="I249" s="1" t="n">
        <v>260</v>
      </c>
    </row>
    <row r="250" customFormat="false" ht="15.75" hidden="false" customHeight="true" outlineLevel="0" collapsed="false">
      <c r="A250" s="1" t="s">
        <v>300</v>
      </c>
      <c r="B250" s="1" t="s">
        <v>23</v>
      </c>
      <c r="C250" s="1" t="s">
        <v>13</v>
      </c>
      <c r="D250" s="1" t="s">
        <v>14</v>
      </c>
      <c r="E250" s="1" t="n">
        <v>977</v>
      </c>
      <c r="F250" s="1" t="n">
        <v>982</v>
      </c>
      <c r="G250" s="1" t="n">
        <v>87.5</v>
      </c>
      <c r="H250" s="1" t="n">
        <v>104.5</v>
      </c>
      <c r="I250" s="1" t="n">
        <v>148</v>
      </c>
    </row>
    <row r="251" customFormat="false" ht="15.75" hidden="false" customHeight="true" outlineLevel="0" collapsed="false">
      <c r="A251" s="1" t="s">
        <v>301</v>
      </c>
      <c r="B251" s="1" t="s">
        <v>12</v>
      </c>
      <c r="C251" s="1" t="s">
        <v>13</v>
      </c>
      <c r="D251" s="1" t="s">
        <v>14</v>
      </c>
      <c r="E251" s="1" t="n">
        <v>577</v>
      </c>
      <c r="F251" s="1" t="n">
        <v>581</v>
      </c>
      <c r="G251" s="1" t="n">
        <v>70</v>
      </c>
      <c r="H251" s="1" t="n">
        <v>96.1</v>
      </c>
      <c r="I251" s="1" t="n">
        <v>290</v>
      </c>
    </row>
    <row r="252" customFormat="false" ht="15.75" hidden="false" customHeight="true" outlineLevel="0" collapsed="false">
      <c r="A252" s="1" t="s">
        <v>302</v>
      </c>
      <c r="B252" s="1" t="s">
        <v>12</v>
      </c>
      <c r="C252" s="1" t="s">
        <v>13</v>
      </c>
      <c r="D252" s="1" t="s">
        <v>14</v>
      </c>
      <c r="E252" s="1" t="n">
        <v>548</v>
      </c>
      <c r="F252" s="1" t="n">
        <v>561</v>
      </c>
      <c r="G252" s="1" t="n">
        <v>53</v>
      </c>
      <c r="H252" s="1" t="n">
        <v>95.6</v>
      </c>
      <c r="I252" s="1" t="n">
        <v>260</v>
      </c>
    </row>
    <row r="253" customFormat="false" ht="15.75" hidden="false" customHeight="true" outlineLevel="0" collapsed="false">
      <c r="A253" s="1" t="s">
        <v>303</v>
      </c>
      <c r="B253" s="1" t="s">
        <v>52</v>
      </c>
      <c r="C253" s="1" t="s">
        <v>13</v>
      </c>
      <c r="D253" s="1" t="s">
        <v>18</v>
      </c>
      <c r="E253" s="1" t="n">
        <v>483</v>
      </c>
      <c r="F253" s="1" t="n">
        <v>494</v>
      </c>
      <c r="G253" s="1" t="n">
        <v>97.4</v>
      </c>
      <c r="H253" s="1" t="n">
        <v>94.5</v>
      </c>
      <c r="I253" s="1" t="n">
        <v>10</v>
      </c>
    </row>
    <row r="254" customFormat="false" ht="15.75" hidden="false" customHeight="true" outlineLevel="0" collapsed="false">
      <c r="A254" s="1" t="s">
        <v>304</v>
      </c>
      <c r="B254" s="1" t="s">
        <v>12</v>
      </c>
      <c r="C254" s="1" t="s">
        <v>13</v>
      </c>
      <c r="D254" s="1" t="s">
        <v>14</v>
      </c>
      <c r="E254" s="1" t="n">
        <v>548</v>
      </c>
      <c r="F254" s="1" t="n">
        <v>561</v>
      </c>
      <c r="G254" s="1" t="n">
        <v>53</v>
      </c>
      <c r="H254" s="1" t="n">
        <v>95.6</v>
      </c>
      <c r="I254" s="1" t="n">
        <v>260</v>
      </c>
    </row>
    <row r="255" customFormat="false" ht="15.75" hidden="false" customHeight="true" outlineLevel="0" collapsed="false">
      <c r="A255" s="1" t="s">
        <v>305</v>
      </c>
      <c r="B255" s="1" t="s">
        <v>12</v>
      </c>
      <c r="C255" s="1" t="s">
        <v>13</v>
      </c>
      <c r="D255" s="1" t="s">
        <v>306</v>
      </c>
      <c r="E255" s="1" t="n">
        <v>488</v>
      </c>
      <c r="F255" s="1" t="n">
        <v>509</v>
      </c>
      <c r="G255" s="1" t="n">
        <v>97.4</v>
      </c>
      <c r="H255" s="1" t="n">
        <v>94.5</v>
      </c>
      <c r="I255" s="1" t="n">
        <v>2</v>
      </c>
    </row>
    <row r="256" customFormat="false" ht="15.75" hidden="false" customHeight="true" outlineLevel="0" collapsed="false">
      <c r="A256" s="1" t="s">
        <v>307</v>
      </c>
      <c r="B256" s="1" t="s">
        <v>12</v>
      </c>
      <c r="C256" s="1" t="s">
        <v>13</v>
      </c>
      <c r="D256" s="1" t="s">
        <v>14</v>
      </c>
      <c r="E256" s="1" t="n">
        <v>577</v>
      </c>
      <c r="F256" s="1" t="n">
        <v>581</v>
      </c>
      <c r="G256" s="1" t="n">
        <v>70</v>
      </c>
      <c r="H256" s="1" t="n">
        <v>96.1</v>
      </c>
      <c r="I256" s="1" t="n">
        <v>290</v>
      </c>
    </row>
    <row r="257" customFormat="false" ht="15.75" hidden="false" customHeight="true" outlineLevel="0" collapsed="false">
      <c r="A257" s="1" t="s">
        <v>308</v>
      </c>
      <c r="B257" s="1" t="s">
        <v>12</v>
      </c>
      <c r="C257" s="1" t="s">
        <v>13</v>
      </c>
      <c r="D257" s="1" t="s">
        <v>14</v>
      </c>
      <c r="E257" s="1" t="n">
        <v>548</v>
      </c>
      <c r="F257" s="1" t="n">
        <v>551</v>
      </c>
      <c r="G257" s="1" t="n">
        <v>53</v>
      </c>
      <c r="H257" s="1" t="n">
        <v>95.6</v>
      </c>
      <c r="I257" s="1" t="n">
        <v>227</v>
      </c>
    </row>
    <row r="258" customFormat="false" ht="15.75" hidden="false" customHeight="true" outlineLevel="0" collapsed="false">
      <c r="A258" s="1" t="s">
        <v>309</v>
      </c>
      <c r="B258" s="1" t="s">
        <v>12</v>
      </c>
      <c r="C258" s="1" t="s">
        <v>13</v>
      </c>
      <c r="D258" s="1" t="s">
        <v>14</v>
      </c>
      <c r="E258" s="1" t="n">
        <v>358</v>
      </c>
      <c r="F258" s="1" t="n">
        <v>362</v>
      </c>
      <c r="G258" s="1" t="n">
        <v>70</v>
      </c>
      <c r="H258" s="1" t="n">
        <v>91.8</v>
      </c>
      <c r="I258" s="1" t="n">
        <v>260</v>
      </c>
    </row>
    <row r="259" customFormat="false" ht="15.75" hidden="false" customHeight="true" outlineLevel="0" collapsed="false">
      <c r="A259" s="1" t="s">
        <v>310</v>
      </c>
      <c r="B259" s="1" t="s">
        <v>12</v>
      </c>
      <c r="C259" s="1" t="s">
        <v>13</v>
      </c>
      <c r="D259" s="1" t="s">
        <v>14</v>
      </c>
      <c r="E259" s="1" t="n">
        <v>565</v>
      </c>
      <c r="F259" s="1" t="n">
        <v>567</v>
      </c>
      <c r="G259" s="1" t="n">
        <v>43</v>
      </c>
      <c r="H259" s="1" t="n">
        <v>95.8</v>
      </c>
      <c r="I259" s="1" t="n">
        <v>290</v>
      </c>
    </row>
    <row r="260" customFormat="false" ht="15.75" hidden="false" customHeight="true" outlineLevel="0" collapsed="false">
      <c r="A260" s="1" t="s">
        <v>311</v>
      </c>
      <c r="B260" s="1" t="s">
        <v>12</v>
      </c>
      <c r="C260" s="1" t="s">
        <v>13</v>
      </c>
      <c r="D260" s="1" t="s">
        <v>14</v>
      </c>
      <c r="E260" s="1" t="n">
        <v>538</v>
      </c>
      <c r="F260" s="1" t="n">
        <v>541</v>
      </c>
      <c r="G260" s="1" t="n">
        <v>53.2</v>
      </c>
      <c r="H260" s="1" t="n">
        <v>95.4</v>
      </c>
      <c r="I260" s="1" t="n">
        <v>260</v>
      </c>
    </row>
    <row r="261" customFormat="false" ht="15.75" hidden="false" customHeight="true" outlineLevel="0" collapsed="false">
      <c r="A261" s="1" t="s">
        <v>312</v>
      </c>
      <c r="B261" s="1" t="s">
        <v>12</v>
      </c>
      <c r="C261" s="1" t="s">
        <v>13</v>
      </c>
      <c r="D261" s="1" t="s">
        <v>14</v>
      </c>
      <c r="E261" s="1" t="n">
        <v>548</v>
      </c>
      <c r="F261" s="1" t="n">
        <v>561</v>
      </c>
      <c r="G261" s="1" t="n">
        <v>53</v>
      </c>
      <c r="H261" s="1" t="n">
        <v>95.6</v>
      </c>
      <c r="I261" s="1" t="n">
        <v>260</v>
      </c>
    </row>
    <row r="262" customFormat="false" ht="15.75" hidden="false" customHeight="true" outlineLevel="0" collapsed="false">
      <c r="A262" s="1" t="s">
        <v>313</v>
      </c>
      <c r="B262" s="1" t="s">
        <v>12</v>
      </c>
      <c r="C262" s="1" t="s">
        <v>13</v>
      </c>
      <c r="D262" s="1" t="s">
        <v>14</v>
      </c>
      <c r="E262" s="1" t="n">
        <v>538</v>
      </c>
      <c r="F262" s="1" t="n">
        <v>541</v>
      </c>
      <c r="G262" s="1" t="n">
        <v>53.2</v>
      </c>
      <c r="H262" s="1" t="n">
        <v>95.4</v>
      </c>
      <c r="I262" s="1" t="n">
        <v>260</v>
      </c>
    </row>
    <row r="263" customFormat="false" ht="15.75" hidden="false" customHeight="true" outlineLevel="0" collapsed="false">
      <c r="A263" s="1" t="s">
        <v>314</v>
      </c>
      <c r="B263" s="1" t="s">
        <v>12</v>
      </c>
      <c r="C263" s="1" t="s">
        <v>13</v>
      </c>
      <c r="D263" s="1" t="s">
        <v>14</v>
      </c>
      <c r="E263" s="1" t="n">
        <v>562</v>
      </c>
      <c r="F263" s="1" t="n">
        <v>564</v>
      </c>
      <c r="G263" s="1" t="n">
        <v>97.6</v>
      </c>
      <c r="H263" s="1" t="n">
        <v>95.9</v>
      </c>
      <c r="I263" s="1" t="n">
        <v>260</v>
      </c>
    </row>
    <row r="264" customFormat="false" ht="15.75" hidden="false" customHeight="true" outlineLevel="0" collapsed="false">
      <c r="A264" s="1" t="s">
        <v>315</v>
      </c>
      <c r="B264" s="1" t="s">
        <v>12</v>
      </c>
      <c r="C264" s="1" t="s">
        <v>13</v>
      </c>
      <c r="D264" s="1" t="s">
        <v>18</v>
      </c>
      <c r="E264" s="1" t="n">
        <v>495</v>
      </c>
      <c r="F264" s="1" t="n">
        <v>505</v>
      </c>
      <c r="G264" s="1" t="n">
        <v>97.5</v>
      </c>
      <c r="H264" s="1" t="n">
        <v>94.6</v>
      </c>
      <c r="I264" s="1" t="n">
        <v>4</v>
      </c>
    </row>
    <row r="265" customFormat="false" ht="15.75" hidden="false" customHeight="true" outlineLevel="0" collapsed="false">
      <c r="A265" s="1" t="s">
        <v>316</v>
      </c>
      <c r="B265" s="1" t="s">
        <v>12</v>
      </c>
      <c r="C265" s="1" t="s">
        <v>13</v>
      </c>
      <c r="D265" s="1" t="s">
        <v>14</v>
      </c>
      <c r="E265" s="1" t="n">
        <v>538</v>
      </c>
      <c r="F265" s="1" t="n">
        <v>541</v>
      </c>
      <c r="G265" s="1" t="n">
        <v>53.2</v>
      </c>
      <c r="H265" s="1" t="n">
        <v>95.4</v>
      </c>
      <c r="I265" s="1" t="n">
        <v>260</v>
      </c>
    </row>
    <row r="266" customFormat="false" ht="15.75" hidden="false" customHeight="true" outlineLevel="0" collapsed="false">
      <c r="A266" s="1" t="s">
        <v>317</v>
      </c>
      <c r="B266" s="1" t="s">
        <v>23</v>
      </c>
      <c r="C266" s="1" t="s">
        <v>13</v>
      </c>
      <c r="D266" s="1" t="s">
        <v>14</v>
      </c>
      <c r="E266" s="1" t="n">
        <v>35780</v>
      </c>
      <c r="F266" s="1" t="n">
        <v>35780</v>
      </c>
      <c r="G266" s="1" t="n">
        <v>0</v>
      </c>
      <c r="H266" s="1" t="n">
        <v>1436.1</v>
      </c>
      <c r="I266" s="1" t="n">
        <v>6100</v>
      </c>
    </row>
    <row r="267" customFormat="false" ht="15.75" hidden="false" customHeight="true" outlineLevel="0" collapsed="false">
      <c r="A267" s="1" t="s">
        <v>318</v>
      </c>
      <c r="B267" s="1" t="s">
        <v>12</v>
      </c>
      <c r="C267" s="1" t="s">
        <v>13</v>
      </c>
      <c r="D267" s="1" t="s">
        <v>18</v>
      </c>
      <c r="E267" s="1" t="n">
        <v>500</v>
      </c>
      <c r="F267" s="1" t="n">
        <v>528</v>
      </c>
      <c r="G267" s="1" t="n">
        <v>97.3</v>
      </c>
      <c r="H267" s="1" t="n">
        <v>94.9</v>
      </c>
      <c r="I267" s="1" t="n">
        <v>110</v>
      </c>
    </row>
    <row r="268" customFormat="false" ht="15.75" hidden="false" customHeight="true" outlineLevel="0" collapsed="false">
      <c r="A268" s="1" t="s">
        <v>319</v>
      </c>
      <c r="B268" s="1" t="s">
        <v>12</v>
      </c>
      <c r="C268" s="1" t="s">
        <v>13</v>
      </c>
      <c r="D268" s="1" t="s">
        <v>14</v>
      </c>
      <c r="E268" s="1" t="n">
        <v>379</v>
      </c>
      <c r="F268" s="1" t="n">
        <v>381</v>
      </c>
      <c r="G268" s="1" t="n">
        <v>53</v>
      </c>
      <c r="H268" s="1" t="n">
        <v>95.6</v>
      </c>
      <c r="I268" s="1" t="n">
        <v>227</v>
      </c>
    </row>
    <row r="269" customFormat="false" ht="15.75" hidden="false" customHeight="true" outlineLevel="0" collapsed="false">
      <c r="A269" s="1" t="s">
        <v>320</v>
      </c>
      <c r="B269" s="1" t="s">
        <v>12</v>
      </c>
      <c r="C269" s="1" t="s">
        <v>13</v>
      </c>
      <c r="D269" s="1" t="s">
        <v>14</v>
      </c>
      <c r="E269" s="1" t="n">
        <v>539</v>
      </c>
      <c r="F269" s="1" t="n">
        <v>541</v>
      </c>
      <c r="G269" s="1" t="n">
        <v>53</v>
      </c>
      <c r="H269" s="1" t="n">
        <v>95.4</v>
      </c>
      <c r="I269" s="1" t="n">
        <v>260</v>
      </c>
    </row>
    <row r="270" customFormat="false" ht="15.75" hidden="false" customHeight="true" outlineLevel="0" collapsed="false">
      <c r="A270" s="1" t="s">
        <v>321</v>
      </c>
      <c r="B270" s="1" t="s">
        <v>23</v>
      </c>
      <c r="C270" s="1" t="s">
        <v>13</v>
      </c>
      <c r="D270" s="1" t="s">
        <v>14</v>
      </c>
      <c r="E270" s="1" t="n">
        <v>8062</v>
      </c>
      <c r="F270" s="1" t="n">
        <v>8069</v>
      </c>
      <c r="G270" s="1" t="n">
        <v>0.05</v>
      </c>
      <c r="H270" s="1" t="n">
        <v>287.92</v>
      </c>
      <c r="I270" s="1" t="n">
        <v>650</v>
      </c>
    </row>
    <row r="271" customFormat="false" ht="15.75" hidden="false" customHeight="true" outlineLevel="0" collapsed="false">
      <c r="A271" s="1" t="s">
        <v>322</v>
      </c>
      <c r="B271" s="1" t="s">
        <v>12</v>
      </c>
      <c r="C271" s="1" t="s">
        <v>13</v>
      </c>
      <c r="D271" s="1" t="s">
        <v>14</v>
      </c>
      <c r="E271" s="1" t="n">
        <v>548</v>
      </c>
      <c r="F271" s="1" t="n">
        <v>561</v>
      </c>
      <c r="G271" s="1" t="n">
        <v>53</v>
      </c>
      <c r="H271" s="1" t="n">
        <v>95.6</v>
      </c>
      <c r="I271" s="1" t="n">
        <v>260</v>
      </c>
    </row>
    <row r="272" customFormat="false" ht="15.75" hidden="false" customHeight="true" outlineLevel="0" collapsed="false">
      <c r="A272" s="1" t="s">
        <v>323</v>
      </c>
      <c r="B272" s="1" t="s">
        <v>23</v>
      </c>
      <c r="C272" s="1" t="s">
        <v>13</v>
      </c>
      <c r="D272" s="1" t="s">
        <v>14</v>
      </c>
      <c r="E272" s="1" t="n">
        <v>977</v>
      </c>
      <c r="F272" s="1" t="n">
        <v>982</v>
      </c>
      <c r="G272" s="1" t="n">
        <v>87.5</v>
      </c>
      <c r="H272" s="1" t="n">
        <v>104.5</v>
      </c>
      <c r="I272" s="1" t="n">
        <v>148</v>
      </c>
    </row>
    <row r="273" customFormat="false" ht="15.75" hidden="false" customHeight="true" outlineLevel="0" collapsed="false">
      <c r="A273" s="1" t="s">
        <v>324</v>
      </c>
      <c r="B273" s="1" t="s">
        <v>12</v>
      </c>
      <c r="C273" s="1" t="s">
        <v>13</v>
      </c>
      <c r="D273" s="1" t="s">
        <v>14</v>
      </c>
      <c r="E273" s="1" t="n">
        <v>548</v>
      </c>
      <c r="F273" s="1" t="n">
        <v>561</v>
      </c>
      <c r="G273" s="1" t="n">
        <v>53</v>
      </c>
      <c r="H273" s="1" t="n">
        <v>95.6</v>
      </c>
      <c r="I273" s="1" t="n">
        <v>260</v>
      </c>
    </row>
    <row r="274" customFormat="false" ht="15.75" hidden="false" customHeight="true" outlineLevel="0" collapsed="false">
      <c r="A274" s="1" t="s">
        <v>325</v>
      </c>
      <c r="B274" s="1" t="s">
        <v>12</v>
      </c>
      <c r="C274" s="1" t="s">
        <v>13</v>
      </c>
      <c r="D274" s="1" t="s">
        <v>14</v>
      </c>
      <c r="E274" s="1" t="n">
        <v>539</v>
      </c>
      <c r="F274" s="1" t="n">
        <v>541</v>
      </c>
      <c r="G274" s="1" t="n">
        <v>53</v>
      </c>
      <c r="H274" s="1" t="n">
        <v>95.4</v>
      </c>
      <c r="I274" s="1" t="n">
        <v>260</v>
      </c>
    </row>
    <row r="275" customFormat="false" ht="15.75" hidden="false" customHeight="true" outlineLevel="0" collapsed="false">
      <c r="A275" s="1" t="s">
        <v>326</v>
      </c>
      <c r="B275" s="1" t="s">
        <v>23</v>
      </c>
      <c r="C275" s="1" t="s">
        <v>13</v>
      </c>
      <c r="D275" s="1" t="s">
        <v>14</v>
      </c>
      <c r="E275" s="1" t="n">
        <v>590</v>
      </c>
      <c r="F275" s="1" t="n">
        <v>600</v>
      </c>
      <c r="G275" s="1" t="n">
        <v>87.4</v>
      </c>
      <c r="H275" s="1" t="n">
        <v>96.4</v>
      </c>
      <c r="I275" s="1" t="n">
        <v>148</v>
      </c>
    </row>
    <row r="276" customFormat="false" ht="15.75" hidden="false" customHeight="true" outlineLevel="0" collapsed="false">
      <c r="A276" s="1" t="s">
        <v>327</v>
      </c>
      <c r="B276" s="1" t="s">
        <v>12</v>
      </c>
      <c r="C276" s="1" t="s">
        <v>13</v>
      </c>
      <c r="D276" s="1" t="s">
        <v>14</v>
      </c>
      <c r="E276" s="1" t="n">
        <v>564</v>
      </c>
      <c r="F276" s="1" t="n">
        <v>567</v>
      </c>
      <c r="G276" s="1" t="n">
        <v>43</v>
      </c>
      <c r="H276" s="1" t="n">
        <v>95.8</v>
      </c>
      <c r="I276" s="1" t="n">
        <v>290</v>
      </c>
    </row>
    <row r="277" customFormat="false" ht="15.75" hidden="false" customHeight="true" outlineLevel="0" collapsed="false">
      <c r="A277" s="1" t="s">
        <v>328</v>
      </c>
      <c r="B277" s="1" t="s">
        <v>52</v>
      </c>
      <c r="C277" s="1" t="s">
        <v>13</v>
      </c>
      <c r="D277" s="1" t="s">
        <v>58</v>
      </c>
      <c r="E277" s="1" t="n">
        <v>494</v>
      </c>
      <c r="F277" s="1" t="n">
        <v>505</v>
      </c>
      <c r="G277" s="1" t="n">
        <v>97.3</v>
      </c>
      <c r="H277" s="1" t="n">
        <v>94.6</v>
      </c>
      <c r="I277" s="1" t="n">
        <v>70</v>
      </c>
    </row>
    <row r="278" customFormat="false" ht="15.75" hidden="false" customHeight="true" outlineLevel="0" collapsed="false">
      <c r="A278" s="1" t="s">
        <v>329</v>
      </c>
      <c r="B278" s="1" t="s">
        <v>330</v>
      </c>
      <c r="C278" s="1" t="s">
        <v>37</v>
      </c>
      <c r="D278" s="1" t="s">
        <v>18</v>
      </c>
      <c r="E278" s="1" t="n">
        <v>392</v>
      </c>
      <c r="F278" s="1" t="n">
        <v>409</v>
      </c>
      <c r="G278" s="1" t="n">
        <v>65.02</v>
      </c>
      <c r="H278" s="1" t="n">
        <v>92.57</v>
      </c>
      <c r="I278" s="1" t="n">
        <v>3850</v>
      </c>
    </row>
    <row r="279" customFormat="false" ht="15.75" hidden="false" customHeight="true" outlineLevel="0" collapsed="false">
      <c r="A279" s="1" t="s">
        <v>331</v>
      </c>
      <c r="B279" s="1" t="s">
        <v>20</v>
      </c>
      <c r="C279" s="1" t="s">
        <v>21</v>
      </c>
      <c r="D279" s="1" t="s">
        <v>18</v>
      </c>
      <c r="E279" s="1" t="n">
        <v>901</v>
      </c>
      <c r="F279" s="1" t="n">
        <v>909</v>
      </c>
      <c r="G279" s="1" t="n">
        <v>67.1</v>
      </c>
      <c r="H279" s="1" t="n">
        <v>103.09</v>
      </c>
      <c r="I279" s="1" t="n">
        <v>5000</v>
      </c>
    </row>
    <row r="280" customFormat="false" ht="15.75" hidden="false" customHeight="true" outlineLevel="0" collapsed="false">
      <c r="A280" s="1" t="s">
        <v>332</v>
      </c>
      <c r="B280" s="1" t="s">
        <v>23</v>
      </c>
      <c r="C280" s="1" t="s">
        <v>13</v>
      </c>
      <c r="D280" s="1" t="s">
        <v>14</v>
      </c>
      <c r="E280" s="1" t="n">
        <v>733</v>
      </c>
      <c r="F280" s="1" t="n">
        <v>738</v>
      </c>
      <c r="G280" s="1" t="n">
        <v>87.1</v>
      </c>
      <c r="H280" s="1" t="n">
        <v>99.4</v>
      </c>
      <c r="I280" s="1" t="n">
        <v>148</v>
      </c>
    </row>
    <row r="281" customFormat="false" ht="15.75" hidden="false" customHeight="true" outlineLevel="0" collapsed="false">
      <c r="A281" s="1" t="s">
        <v>333</v>
      </c>
      <c r="B281" s="1" t="s">
        <v>63</v>
      </c>
      <c r="C281" s="1" t="s">
        <v>13</v>
      </c>
      <c r="D281" s="1" t="s">
        <v>14</v>
      </c>
      <c r="E281" s="1" t="n">
        <v>35772</v>
      </c>
      <c r="F281" s="1" t="n">
        <v>35799</v>
      </c>
      <c r="G281" s="1" t="n">
        <v>0.01</v>
      </c>
      <c r="H281" s="1" t="n">
        <v>1436.1</v>
      </c>
      <c r="I281" s="1" t="n">
        <v>5000</v>
      </c>
    </row>
    <row r="282" customFormat="false" ht="15.75" hidden="false" customHeight="true" outlineLevel="0" collapsed="false">
      <c r="A282" s="1" t="s">
        <v>334</v>
      </c>
      <c r="B282" s="1" t="s">
        <v>186</v>
      </c>
      <c r="C282" s="1" t="s">
        <v>13</v>
      </c>
      <c r="D282" s="1" t="s">
        <v>14</v>
      </c>
      <c r="E282" s="1" t="n">
        <v>35783</v>
      </c>
      <c r="F282" s="1" t="n">
        <v>35791</v>
      </c>
      <c r="G282" s="1" t="n">
        <v>0.02</v>
      </c>
      <c r="H282" s="1" t="n">
        <v>1436.1</v>
      </c>
      <c r="I282" s="1" t="n">
        <v>4970</v>
      </c>
    </row>
    <row r="283" customFormat="false" ht="15.75" hidden="false" customHeight="true" outlineLevel="0" collapsed="false">
      <c r="A283" s="1" t="s">
        <v>335</v>
      </c>
      <c r="B283" s="1" t="s">
        <v>12</v>
      </c>
      <c r="C283" s="1" t="s">
        <v>13</v>
      </c>
      <c r="D283" s="1" t="s">
        <v>14</v>
      </c>
      <c r="E283" s="1" t="n">
        <v>348</v>
      </c>
      <c r="F283" s="1" t="n">
        <v>351</v>
      </c>
      <c r="G283" s="1" t="n">
        <v>53.2</v>
      </c>
      <c r="H283" s="1" t="n">
        <v>91.5</v>
      </c>
      <c r="I283" s="1" t="n">
        <v>260</v>
      </c>
    </row>
    <row r="284" customFormat="false" ht="15.75" hidden="false" customHeight="true" outlineLevel="0" collapsed="false">
      <c r="A284" s="1" t="s">
        <v>336</v>
      </c>
      <c r="B284" s="1" t="s">
        <v>134</v>
      </c>
      <c r="C284" s="1" t="s">
        <v>97</v>
      </c>
      <c r="D284" s="1" t="s">
        <v>18</v>
      </c>
      <c r="E284" s="1" t="n">
        <v>668</v>
      </c>
      <c r="F284" s="1" t="n">
        <v>679</v>
      </c>
      <c r="G284" s="1" t="n">
        <v>98.1</v>
      </c>
      <c r="H284" s="1" t="n">
        <v>95</v>
      </c>
      <c r="I284" s="1" t="n">
        <v>800</v>
      </c>
    </row>
    <row r="285" customFormat="false" ht="15.75" hidden="false" customHeight="true" outlineLevel="0" collapsed="false">
      <c r="A285" s="1" t="s">
        <v>337</v>
      </c>
      <c r="B285" s="1" t="s">
        <v>12</v>
      </c>
      <c r="C285" s="1" t="s">
        <v>13</v>
      </c>
      <c r="D285" s="1" t="s">
        <v>14</v>
      </c>
      <c r="E285" s="1" t="n">
        <v>565</v>
      </c>
      <c r="F285" s="1" t="n">
        <v>567</v>
      </c>
      <c r="G285" s="1" t="n">
        <v>43</v>
      </c>
      <c r="H285" s="1" t="n">
        <v>95</v>
      </c>
      <c r="I285" s="1" t="n">
        <v>290</v>
      </c>
    </row>
    <row r="286" customFormat="false" ht="15.75" hidden="false" customHeight="true" outlineLevel="0" collapsed="false">
      <c r="A286" s="1" t="s">
        <v>338</v>
      </c>
      <c r="B286" s="1" t="s">
        <v>12</v>
      </c>
      <c r="C286" s="1" t="s">
        <v>13</v>
      </c>
      <c r="D286" s="1" t="s">
        <v>14</v>
      </c>
      <c r="E286" s="1" t="n">
        <v>360</v>
      </c>
      <c r="F286" s="1" t="n">
        <v>363</v>
      </c>
      <c r="G286" s="1" t="n">
        <v>43</v>
      </c>
      <c r="H286" s="1" t="n">
        <v>91.6</v>
      </c>
      <c r="I286" s="1" t="n">
        <v>800</v>
      </c>
    </row>
    <row r="287" customFormat="false" ht="15.75" hidden="false" customHeight="true" outlineLevel="0" collapsed="false">
      <c r="A287" s="1" t="s">
        <v>339</v>
      </c>
      <c r="B287" s="1" t="s">
        <v>12</v>
      </c>
      <c r="C287" s="1" t="s">
        <v>13</v>
      </c>
      <c r="D287" s="1" t="s">
        <v>18</v>
      </c>
      <c r="E287" s="1" t="n">
        <v>612</v>
      </c>
      <c r="F287" s="1" t="n">
        <v>614</v>
      </c>
      <c r="G287" s="1" t="n">
        <v>97.99</v>
      </c>
      <c r="H287" s="1" t="n">
        <v>96.96</v>
      </c>
      <c r="I287" s="1" t="n">
        <v>2800</v>
      </c>
    </row>
    <row r="288" customFormat="false" ht="15.75" hidden="false" customHeight="true" outlineLevel="0" collapsed="false">
      <c r="A288" s="1" t="s">
        <v>340</v>
      </c>
      <c r="B288" s="1" t="s">
        <v>12</v>
      </c>
      <c r="C288" s="1" t="s">
        <v>13</v>
      </c>
      <c r="D288" s="1" t="s">
        <v>14</v>
      </c>
      <c r="E288" s="1" t="n">
        <v>549</v>
      </c>
      <c r="F288" s="1" t="n">
        <v>550</v>
      </c>
      <c r="G288" s="1" t="n">
        <v>53</v>
      </c>
      <c r="H288" s="1" t="n">
        <v>92.1</v>
      </c>
      <c r="I288" s="1" t="n">
        <v>227</v>
      </c>
    </row>
    <row r="289" customFormat="false" ht="15.75" hidden="false" customHeight="true" outlineLevel="0" collapsed="false">
      <c r="A289" s="1" t="s">
        <v>341</v>
      </c>
      <c r="B289" s="1" t="s">
        <v>12</v>
      </c>
      <c r="C289" s="1" t="s">
        <v>13</v>
      </c>
      <c r="D289" s="1" t="s">
        <v>14</v>
      </c>
      <c r="E289" s="1" t="n">
        <v>260</v>
      </c>
      <c r="F289" s="1" t="n">
        <v>280</v>
      </c>
      <c r="G289" s="1" t="n">
        <v>53</v>
      </c>
      <c r="H289" s="1" t="n">
        <v>95.6</v>
      </c>
      <c r="I289" s="1" t="n">
        <v>260</v>
      </c>
    </row>
    <row r="290" customFormat="false" ht="15.75" hidden="false" customHeight="true" outlineLevel="0" collapsed="false">
      <c r="A290" s="1" t="s">
        <v>342</v>
      </c>
      <c r="B290" s="1" t="s">
        <v>12</v>
      </c>
      <c r="C290" s="1" t="s">
        <v>13</v>
      </c>
      <c r="D290" s="1" t="s">
        <v>14</v>
      </c>
      <c r="E290" s="1" t="n">
        <v>522</v>
      </c>
      <c r="F290" s="1" t="n">
        <v>533</v>
      </c>
      <c r="G290" s="1" t="n">
        <v>97.5</v>
      </c>
      <c r="H290" s="1" t="n">
        <v>94.3</v>
      </c>
      <c r="I290" s="1" t="n">
        <v>2</v>
      </c>
    </row>
    <row r="291" customFormat="false" ht="15.75" hidden="false" customHeight="true" outlineLevel="0" collapsed="false">
      <c r="A291" s="1" t="s">
        <v>343</v>
      </c>
      <c r="B291" s="1" t="s">
        <v>12</v>
      </c>
      <c r="C291" s="1" t="s">
        <v>13</v>
      </c>
      <c r="D291" s="1" t="s">
        <v>14</v>
      </c>
      <c r="E291" s="1" t="n">
        <v>565</v>
      </c>
      <c r="F291" s="1" t="n">
        <v>567</v>
      </c>
      <c r="G291" s="1" t="n">
        <v>43</v>
      </c>
      <c r="H291" s="1" t="n">
        <v>95</v>
      </c>
      <c r="I291" s="1" t="n">
        <v>290</v>
      </c>
    </row>
    <row r="292" customFormat="false" ht="15.75" hidden="false" customHeight="true" outlineLevel="0" collapsed="false">
      <c r="A292" s="1" t="s">
        <v>344</v>
      </c>
      <c r="B292" s="1" t="s">
        <v>12</v>
      </c>
      <c r="C292" s="1" t="s">
        <v>13</v>
      </c>
      <c r="D292" s="1" t="s">
        <v>14</v>
      </c>
      <c r="E292" s="1" t="n">
        <v>548</v>
      </c>
      <c r="F292" s="1" t="n">
        <v>561</v>
      </c>
      <c r="G292" s="1" t="n">
        <v>53</v>
      </c>
      <c r="H292" s="1" t="n">
        <v>95.6</v>
      </c>
      <c r="I292" s="1" t="n">
        <v>260</v>
      </c>
    </row>
    <row r="293" customFormat="false" ht="15.75" hidden="false" customHeight="true" outlineLevel="0" collapsed="false">
      <c r="A293" s="1" t="s">
        <v>345</v>
      </c>
      <c r="B293" s="1" t="s">
        <v>12</v>
      </c>
      <c r="C293" s="1" t="s">
        <v>13</v>
      </c>
      <c r="D293" s="1" t="s">
        <v>14</v>
      </c>
      <c r="E293" s="1" t="n">
        <v>258</v>
      </c>
      <c r="F293" s="1" t="n">
        <v>280</v>
      </c>
      <c r="G293" s="1" t="n">
        <v>53</v>
      </c>
      <c r="H293" s="1" t="n">
        <v>95.6</v>
      </c>
      <c r="I293" s="1" t="n">
        <v>260</v>
      </c>
    </row>
    <row r="294" customFormat="false" ht="15.75" hidden="false" customHeight="true" outlineLevel="0" collapsed="false">
      <c r="A294" s="1" t="s">
        <v>346</v>
      </c>
      <c r="B294" s="1" t="s">
        <v>347</v>
      </c>
      <c r="C294" s="1" t="s">
        <v>13</v>
      </c>
      <c r="D294" s="1" t="s">
        <v>58</v>
      </c>
      <c r="E294" s="1" t="n">
        <v>535</v>
      </c>
      <c r="F294" s="1" t="n">
        <v>564</v>
      </c>
      <c r="G294" s="1" t="n">
        <v>97.5</v>
      </c>
      <c r="H294" s="1" t="n">
        <v>95.4</v>
      </c>
      <c r="I294" s="1" t="n">
        <v>3</v>
      </c>
    </row>
    <row r="295" customFormat="false" ht="15.75" hidden="false" customHeight="true" outlineLevel="0" collapsed="false">
      <c r="A295" s="1" t="s">
        <v>348</v>
      </c>
      <c r="B295" s="1" t="s">
        <v>12</v>
      </c>
      <c r="C295" s="1" t="s">
        <v>13</v>
      </c>
      <c r="D295" s="1" t="s">
        <v>14</v>
      </c>
      <c r="E295" s="1" t="n">
        <v>548</v>
      </c>
      <c r="F295" s="1" t="n">
        <v>561</v>
      </c>
      <c r="G295" s="1" t="n">
        <v>53</v>
      </c>
      <c r="H295" s="1" t="n">
        <v>95.6</v>
      </c>
      <c r="I295" s="1" t="n">
        <v>260</v>
      </c>
    </row>
    <row r="296" customFormat="false" ht="15.75" hidden="false" customHeight="true" outlineLevel="0" collapsed="false">
      <c r="A296" s="1" t="s">
        <v>349</v>
      </c>
      <c r="B296" s="1" t="s">
        <v>12</v>
      </c>
      <c r="C296" s="1" t="s">
        <v>13</v>
      </c>
      <c r="D296" s="1" t="s">
        <v>14</v>
      </c>
      <c r="E296" s="1" t="n">
        <v>258</v>
      </c>
      <c r="F296" s="1" t="n">
        <v>280</v>
      </c>
      <c r="G296" s="1" t="n">
        <v>53</v>
      </c>
      <c r="H296" s="1" t="n">
        <v>95.6</v>
      </c>
      <c r="I296" s="1" t="n">
        <v>260</v>
      </c>
    </row>
    <row r="297" customFormat="false" ht="15.75" hidden="false" customHeight="true" outlineLevel="0" collapsed="false">
      <c r="A297" s="1" t="s">
        <v>350</v>
      </c>
      <c r="B297" s="1" t="s">
        <v>12</v>
      </c>
      <c r="C297" s="1" t="s">
        <v>13</v>
      </c>
      <c r="D297" s="1" t="s">
        <v>14</v>
      </c>
      <c r="E297" s="1" t="n">
        <v>538</v>
      </c>
      <c r="F297" s="1" t="n">
        <v>541</v>
      </c>
      <c r="G297" s="1" t="n">
        <v>53.2</v>
      </c>
      <c r="H297" s="1" t="n">
        <v>95.4</v>
      </c>
      <c r="I297" s="1" t="n">
        <v>260</v>
      </c>
    </row>
    <row r="298" customFormat="false" ht="15.75" hidden="false" customHeight="true" outlineLevel="0" collapsed="false">
      <c r="A298" s="1" t="s">
        <v>351</v>
      </c>
      <c r="B298" s="1" t="s">
        <v>12</v>
      </c>
      <c r="C298" s="1" t="s">
        <v>13</v>
      </c>
      <c r="D298" s="1" t="s">
        <v>14</v>
      </c>
      <c r="E298" s="1" t="n">
        <v>548</v>
      </c>
      <c r="F298" s="1" t="n">
        <v>551</v>
      </c>
      <c r="G298" s="1" t="n">
        <v>53</v>
      </c>
      <c r="H298" s="1" t="n">
        <v>95.6</v>
      </c>
      <c r="I298" s="1" t="n">
        <v>260</v>
      </c>
    </row>
    <row r="299" customFormat="false" ht="15.75" hidden="false" customHeight="true" outlineLevel="0" collapsed="false">
      <c r="A299" s="1" t="s">
        <v>352</v>
      </c>
      <c r="B299" s="1" t="s">
        <v>12</v>
      </c>
      <c r="C299" s="1" t="s">
        <v>83</v>
      </c>
      <c r="D299" s="1" t="s">
        <v>14</v>
      </c>
      <c r="E299" s="1" t="n">
        <v>607</v>
      </c>
      <c r="F299" s="1" t="n">
        <v>626</v>
      </c>
      <c r="G299" s="1" t="n">
        <v>86.6</v>
      </c>
      <c r="H299" s="1" t="n">
        <v>97</v>
      </c>
      <c r="I299" s="1" t="n">
        <v>860</v>
      </c>
    </row>
    <row r="300" customFormat="false" ht="15.75" hidden="false" customHeight="true" outlineLevel="0" collapsed="false">
      <c r="A300" s="1" t="s">
        <v>353</v>
      </c>
      <c r="B300" s="1" t="s">
        <v>52</v>
      </c>
      <c r="C300" s="1" t="s">
        <v>354</v>
      </c>
      <c r="D300" s="1" t="s">
        <v>48</v>
      </c>
      <c r="E300" s="1" t="n">
        <v>35796</v>
      </c>
      <c r="F300" s="1" t="n">
        <v>36781</v>
      </c>
      <c r="G300" s="1" t="n">
        <v>54.9</v>
      </c>
      <c r="H300" s="1" t="n">
        <v>1461.81</v>
      </c>
      <c r="I300" s="1" t="n">
        <v>4200</v>
      </c>
    </row>
    <row r="301" customFormat="false" ht="15.75" hidden="false" customHeight="true" outlineLevel="0" collapsed="false">
      <c r="A301" s="1" t="s">
        <v>355</v>
      </c>
      <c r="B301" s="1" t="s">
        <v>12</v>
      </c>
      <c r="C301" s="1" t="s">
        <v>13</v>
      </c>
      <c r="D301" s="1" t="s">
        <v>14</v>
      </c>
      <c r="E301" s="1" t="n">
        <v>538</v>
      </c>
      <c r="F301" s="1" t="n">
        <v>541</v>
      </c>
      <c r="G301" s="1" t="n">
        <v>53.2</v>
      </c>
      <c r="H301" s="1" t="n">
        <v>95.4</v>
      </c>
      <c r="I301" s="1" t="n">
        <v>260</v>
      </c>
    </row>
    <row r="302" customFormat="false" ht="15.75" hidden="false" customHeight="true" outlineLevel="0" collapsed="false">
      <c r="A302" s="1" t="s">
        <v>356</v>
      </c>
      <c r="B302" s="1" t="s">
        <v>52</v>
      </c>
      <c r="C302" s="1" t="s">
        <v>21</v>
      </c>
      <c r="D302" s="1" t="s">
        <v>18</v>
      </c>
      <c r="E302" s="1" t="n">
        <v>589</v>
      </c>
      <c r="F302" s="1" t="n">
        <v>603</v>
      </c>
      <c r="G302" s="1" t="n">
        <v>35</v>
      </c>
      <c r="H302" s="1" t="n">
        <v>96.6</v>
      </c>
    </row>
    <row r="303" customFormat="false" ht="15.75" hidden="false" customHeight="true" outlineLevel="0" collapsed="false">
      <c r="A303" s="1" t="s">
        <v>357</v>
      </c>
      <c r="B303" s="1" t="s">
        <v>12</v>
      </c>
      <c r="C303" s="1" t="s">
        <v>13</v>
      </c>
      <c r="D303" s="1" t="s">
        <v>14</v>
      </c>
      <c r="E303" s="1" t="n">
        <v>577</v>
      </c>
      <c r="F303" s="1" t="n">
        <v>581</v>
      </c>
      <c r="G303" s="1" t="n">
        <v>70</v>
      </c>
      <c r="H303" s="1" t="n">
        <v>96.1</v>
      </c>
      <c r="I303" s="1" t="n">
        <v>290</v>
      </c>
    </row>
    <row r="304" customFormat="false" ht="15.75" hidden="false" customHeight="true" outlineLevel="0" collapsed="false">
      <c r="A304" s="1" t="s">
        <v>358</v>
      </c>
      <c r="B304" s="1" t="s">
        <v>12</v>
      </c>
      <c r="C304" s="1" t="s">
        <v>13</v>
      </c>
      <c r="D304" s="1" t="s">
        <v>18</v>
      </c>
      <c r="E304" s="1" t="n">
        <v>520</v>
      </c>
      <c r="F304" s="1" t="n">
        <v>535</v>
      </c>
      <c r="G304" s="1" t="n">
        <v>97.5</v>
      </c>
      <c r="H304" s="1" t="n">
        <v>95.2</v>
      </c>
      <c r="I304" s="1" t="n">
        <v>4</v>
      </c>
    </row>
    <row r="305" customFormat="false" ht="15.75" hidden="false" customHeight="true" outlineLevel="0" collapsed="false">
      <c r="A305" s="1" t="s">
        <v>359</v>
      </c>
      <c r="B305" s="1" t="s">
        <v>12</v>
      </c>
      <c r="C305" s="1" t="s">
        <v>13</v>
      </c>
      <c r="D305" s="1" t="s">
        <v>18</v>
      </c>
      <c r="E305" s="1" t="n">
        <v>496</v>
      </c>
      <c r="F305" s="1" t="n">
        <v>507</v>
      </c>
      <c r="G305" s="1" t="n">
        <v>97.5</v>
      </c>
      <c r="H305" s="1" t="n">
        <v>94.6</v>
      </c>
      <c r="I305" s="1" t="n">
        <v>10</v>
      </c>
    </row>
    <row r="306" customFormat="false" ht="15.75" hidden="false" customHeight="true" outlineLevel="0" collapsed="false">
      <c r="A306" s="1" t="s">
        <v>360</v>
      </c>
      <c r="B306" s="1" t="s">
        <v>12</v>
      </c>
      <c r="C306" s="1" t="s">
        <v>13</v>
      </c>
      <c r="D306" s="1" t="s">
        <v>14</v>
      </c>
      <c r="E306" s="1" t="n">
        <v>348</v>
      </c>
      <c r="F306" s="1" t="n">
        <v>351</v>
      </c>
      <c r="G306" s="1" t="n">
        <v>53.2</v>
      </c>
      <c r="H306" s="1" t="n">
        <v>91.5</v>
      </c>
      <c r="I306" s="1" t="n">
        <v>260</v>
      </c>
    </row>
    <row r="307" customFormat="false" ht="15.75" hidden="false" customHeight="true" outlineLevel="0" collapsed="false">
      <c r="A307" s="1" t="s">
        <v>361</v>
      </c>
      <c r="B307" s="1" t="s">
        <v>12</v>
      </c>
      <c r="C307" s="1" t="s">
        <v>13</v>
      </c>
      <c r="D307" s="1" t="s">
        <v>14</v>
      </c>
      <c r="E307" s="1" t="n">
        <v>345</v>
      </c>
      <c r="F307" s="1" t="n">
        <v>352</v>
      </c>
      <c r="G307" s="1" t="n">
        <v>43</v>
      </c>
      <c r="H307" s="1" t="n">
        <v>91.6</v>
      </c>
      <c r="I307" s="1" t="n">
        <v>750</v>
      </c>
    </row>
    <row r="308" customFormat="false" ht="15.75" hidden="false" customHeight="true" outlineLevel="0" collapsed="false">
      <c r="A308" s="1" t="s">
        <v>362</v>
      </c>
      <c r="B308" s="1" t="s">
        <v>12</v>
      </c>
      <c r="C308" s="1" t="s">
        <v>13</v>
      </c>
      <c r="D308" s="1" t="s">
        <v>14</v>
      </c>
      <c r="E308" s="1" t="n">
        <v>538</v>
      </c>
      <c r="F308" s="1" t="n">
        <v>541</v>
      </c>
      <c r="G308" s="1" t="n">
        <v>53.2</v>
      </c>
      <c r="H308" s="1" t="n">
        <v>95.4</v>
      </c>
      <c r="I308" s="1" t="n">
        <v>260</v>
      </c>
    </row>
    <row r="309" customFormat="false" ht="15.75" hidden="false" customHeight="true" outlineLevel="0" collapsed="false">
      <c r="A309" s="1" t="s">
        <v>363</v>
      </c>
      <c r="B309" s="1" t="s">
        <v>12</v>
      </c>
      <c r="C309" s="1" t="s">
        <v>13</v>
      </c>
      <c r="D309" s="1" t="s">
        <v>14</v>
      </c>
      <c r="E309" s="1" t="n">
        <v>577</v>
      </c>
      <c r="F309" s="1" t="n">
        <v>581</v>
      </c>
      <c r="G309" s="1" t="n">
        <v>70</v>
      </c>
      <c r="H309" s="1" t="n">
        <v>96.1</v>
      </c>
      <c r="I309" s="1" t="n">
        <v>290</v>
      </c>
    </row>
    <row r="310" customFormat="false" ht="15.75" hidden="false" customHeight="true" outlineLevel="0" collapsed="false">
      <c r="A310" s="1" t="s">
        <v>364</v>
      </c>
      <c r="B310" s="1" t="s">
        <v>52</v>
      </c>
      <c r="C310" s="1" t="s">
        <v>21</v>
      </c>
      <c r="D310" s="1" t="s">
        <v>18</v>
      </c>
      <c r="E310" s="1" t="n">
        <v>1080</v>
      </c>
      <c r="F310" s="1" t="n">
        <v>1089</v>
      </c>
      <c r="G310" s="1" t="n">
        <v>63.38</v>
      </c>
      <c r="H310" s="1" t="n">
        <v>106.93</v>
      </c>
    </row>
    <row r="311" customFormat="false" ht="15.75" hidden="false" customHeight="true" outlineLevel="0" collapsed="false">
      <c r="A311" s="1" t="s">
        <v>365</v>
      </c>
      <c r="B311" s="1" t="s">
        <v>20</v>
      </c>
      <c r="C311" s="1" t="s">
        <v>13</v>
      </c>
      <c r="D311" s="1" t="s">
        <v>14</v>
      </c>
      <c r="E311" s="1" t="n">
        <v>1486</v>
      </c>
      <c r="F311" s="1" t="n">
        <v>1506</v>
      </c>
      <c r="G311" s="1" t="n">
        <v>82.5</v>
      </c>
      <c r="H311" s="1" t="n">
        <v>115.9</v>
      </c>
      <c r="I311" s="1" t="n">
        <v>280</v>
      </c>
    </row>
    <row r="312" customFormat="false" ht="15.75" hidden="false" customHeight="true" outlineLevel="0" collapsed="false">
      <c r="A312" s="1" t="s">
        <v>366</v>
      </c>
      <c r="B312" s="1" t="s">
        <v>12</v>
      </c>
      <c r="C312" s="1" t="s">
        <v>13</v>
      </c>
      <c r="D312" s="1" t="s">
        <v>14</v>
      </c>
      <c r="E312" s="1" t="n">
        <v>565</v>
      </c>
      <c r="F312" s="1" t="n">
        <v>567</v>
      </c>
      <c r="G312" s="1" t="n">
        <v>43</v>
      </c>
      <c r="H312" s="1" t="n">
        <v>95</v>
      </c>
      <c r="I312" s="1" t="n">
        <v>290</v>
      </c>
    </row>
    <row r="313" customFormat="false" ht="15.75" hidden="false" customHeight="true" outlineLevel="0" collapsed="false">
      <c r="A313" s="1" t="s">
        <v>367</v>
      </c>
      <c r="B313" s="1" t="s">
        <v>12</v>
      </c>
      <c r="C313" s="1" t="s">
        <v>13</v>
      </c>
      <c r="D313" s="1" t="s">
        <v>14</v>
      </c>
      <c r="E313" s="1" t="n">
        <v>556</v>
      </c>
      <c r="F313" s="1" t="n">
        <v>560</v>
      </c>
      <c r="G313" s="1" t="n">
        <v>97.6</v>
      </c>
      <c r="H313" s="1" t="n">
        <v>95.8</v>
      </c>
      <c r="I313" s="1" t="n">
        <v>260</v>
      </c>
    </row>
    <row r="314" customFormat="false" ht="15.75" hidden="false" customHeight="true" outlineLevel="0" collapsed="false">
      <c r="A314" s="1" t="s">
        <v>368</v>
      </c>
      <c r="B314" s="1" t="s">
        <v>12</v>
      </c>
      <c r="C314" s="1" t="s">
        <v>13</v>
      </c>
      <c r="D314" s="1" t="s">
        <v>18</v>
      </c>
      <c r="E314" s="1" t="n">
        <v>524</v>
      </c>
      <c r="F314" s="1" t="n">
        <v>535</v>
      </c>
      <c r="G314" s="1" t="n">
        <v>97.5</v>
      </c>
      <c r="H314" s="1" t="n">
        <v>94.7</v>
      </c>
      <c r="I314" s="1" t="n">
        <v>6</v>
      </c>
    </row>
    <row r="315" customFormat="false" ht="15.75" hidden="false" customHeight="true" outlineLevel="0" collapsed="false">
      <c r="A315" s="1" t="s">
        <v>369</v>
      </c>
      <c r="B315" s="1" t="s">
        <v>12</v>
      </c>
      <c r="C315" s="1" t="s">
        <v>13</v>
      </c>
      <c r="D315" s="1" t="s">
        <v>161</v>
      </c>
      <c r="E315" s="1" t="n">
        <v>543</v>
      </c>
      <c r="F315" s="1" t="n">
        <v>548</v>
      </c>
      <c r="G315" s="1" t="n">
        <v>45</v>
      </c>
      <c r="H315" s="1" t="n">
        <v>95.7</v>
      </c>
      <c r="I315" s="1" t="n">
        <v>9</v>
      </c>
    </row>
    <row r="316" customFormat="false" ht="15.75" hidden="false" customHeight="true" outlineLevel="0" collapsed="false">
      <c r="A316" s="1" t="s">
        <v>370</v>
      </c>
      <c r="B316" s="1" t="s">
        <v>12</v>
      </c>
      <c r="C316" s="1" t="s">
        <v>13</v>
      </c>
      <c r="D316" s="1" t="s">
        <v>14</v>
      </c>
      <c r="E316" s="1" t="n">
        <v>569</v>
      </c>
      <c r="F316" s="1" t="n">
        <v>571</v>
      </c>
      <c r="G316" s="1" t="n">
        <v>97.7</v>
      </c>
      <c r="H316" s="1" t="n">
        <v>95.9</v>
      </c>
      <c r="I316" s="1" t="n">
        <v>300</v>
      </c>
    </row>
    <row r="317" customFormat="false" ht="15.75" hidden="false" customHeight="true" outlineLevel="0" collapsed="false">
      <c r="A317" s="1" t="s">
        <v>371</v>
      </c>
      <c r="B317" s="1" t="s">
        <v>12</v>
      </c>
      <c r="C317" s="1" t="s">
        <v>13</v>
      </c>
      <c r="D317" s="1" t="s">
        <v>14</v>
      </c>
      <c r="E317" s="1" t="n">
        <v>360</v>
      </c>
      <c r="F317" s="1" t="n">
        <v>363</v>
      </c>
      <c r="G317" s="1" t="n">
        <v>43</v>
      </c>
      <c r="H317" s="1" t="n">
        <v>91.6</v>
      </c>
      <c r="I317" s="1" t="n">
        <v>800</v>
      </c>
    </row>
    <row r="318" customFormat="false" ht="15.75" hidden="false" customHeight="true" outlineLevel="0" collapsed="false">
      <c r="A318" s="1" t="s">
        <v>372</v>
      </c>
      <c r="B318" s="1" t="s">
        <v>52</v>
      </c>
      <c r="C318" s="1" t="s">
        <v>37</v>
      </c>
      <c r="D318" s="1" t="s">
        <v>58</v>
      </c>
      <c r="E318" s="1" t="n">
        <v>661</v>
      </c>
      <c r="F318" s="1" t="n">
        <v>673</v>
      </c>
      <c r="G318" s="1" t="n">
        <v>98.06</v>
      </c>
      <c r="H318" s="1" t="n">
        <v>98.08</v>
      </c>
    </row>
    <row r="319" customFormat="false" ht="15.75" hidden="false" customHeight="true" outlineLevel="0" collapsed="false">
      <c r="A319" s="1" t="s">
        <v>373</v>
      </c>
      <c r="B319" s="1" t="s">
        <v>12</v>
      </c>
      <c r="C319" s="1" t="s">
        <v>83</v>
      </c>
      <c r="D319" s="1" t="s">
        <v>14</v>
      </c>
      <c r="E319" s="1" t="n">
        <v>608</v>
      </c>
      <c r="F319" s="1" t="n">
        <v>625</v>
      </c>
      <c r="G319" s="1" t="n">
        <v>86.6</v>
      </c>
      <c r="H319" s="1" t="n">
        <v>97</v>
      </c>
      <c r="I319" s="1" t="n">
        <v>860</v>
      </c>
    </row>
    <row r="320" customFormat="false" ht="15.75" hidden="false" customHeight="true" outlineLevel="0" collapsed="false">
      <c r="A320" s="1" t="s">
        <v>374</v>
      </c>
      <c r="B320" s="1" t="s">
        <v>23</v>
      </c>
      <c r="C320" s="1" t="s">
        <v>13</v>
      </c>
      <c r="D320" s="1" t="s">
        <v>14</v>
      </c>
      <c r="E320" s="1" t="n">
        <v>1176</v>
      </c>
      <c r="F320" s="1" t="n">
        <v>1179</v>
      </c>
      <c r="G320" s="1" t="n">
        <v>87.9</v>
      </c>
      <c r="H320" s="1" t="n">
        <v>108.9</v>
      </c>
      <c r="I320" s="1" t="n">
        <v>148</v>
      </c>
    </row>
    <row r="321" customFormat="false" ht="15.75" hidden="false" customHeight="true" outlineLevel="0" collapsed="false">
      <c r="A321" s="1" t="s">
        <v>375</v>
      </c>
      <c r="B321" s="1" t="s">
        <v>12</v>
      </c>
      <c r="C321" s="1" t="s">
        <v>21</v>
      </c>
      <c r="D321" s="1" t="s">
        <v>18</v>
      </c>
      <c r="E321" s="1" t="n">
        <v>842</v>
      </c>
      <c r="F321" s="1" t="n">
        <v>859</v>
      </c>
      <c r="G321" s="1" t="n">
        <v>98.93</v>
      </c>
      <c r="H321" s="1" t="n">
        <v>101.94</v>
      </c>
      <c r="I321" s="1" t="n">
        <v>1155</v>
      </c>
    </row>
    <row r="322" customFormat="false" ht="15.75" hidden="false" customHeight="true" outlineLevel="0" collapsed="false">
      <c r="A322" s="1" t="s">
        <v>376</v>
      </c>
      <c r="B322" s="1" t="s">
        <v>20</v>
      </c>
      <c r="C322" s="1" t="s">
        <v>21</v>
      </c>
      <c r="D322" s="1" t="s">
        <v>58</v>
      </c>
      <c r="E322" s="1" t="n">
        <v>611</v>
      </c>
      <c r="F322" s="1" t="n">
        <v>623</v>
      </c>
      <c r="G322" s="1" t="n">
        <v>97.9</v>
      </c>
      <c r="H322" s="1" t="n">
        <v>97</v>
      </c>
    </row>
    <row r="323" customFormat="false" ht="15.75" hidden="false" customHeight="true" outlineLevel="0" collapsed="false">
      <c r="A323" s="1" t="s">
        <v>377</v>
      </c>
      <c r="B323" s="1" t="s">
        <v>23</v>
      </c>
      <c r="C323" s="1" t="s">
        <v>13</v>
      </c>
      <c r="D323" s="1" t="s">
        <v>14</v>
      </c>
      <c r="E323" s="1" t="n">
        <v>590</v>
      </c>
      <c r="F323" s="1" t="n">
        <v>600</v>
      </c>
      <c r="G323" s="1" t="n">
        <v>87.4</v>
      </c>
      <c r="H323" s="1" t="n">
        <v>96.75</v>
      </c>
      <c r="I323" s="1" t="n">
        <v>148</v>
      </c>
    </row>
    <row r="324" customFormat="false" ht="15.75" hidden="false" customHeight="true" outlineLevel="0" collapsed="false">
      <c r="A324" s="1" t="s">
        <v>378</v>
      </c>
      <c r="B324" s="1" t="s">
        <v>52</v>
      </c>
      <c r="C324" s="1" t="s">
        <v>13</v>
      </c>
      <c r="D324" s="1" t="s">
        <v>379</v>
      </c>
      <c r="E324" s="1" t="n">
        <v>501</v>
      </c>
      <c r="F324" s="1" t="n">
        <v>515</v>
      </c>
      <c r="G324" s="1" t="n">
        <v>97.4</v>
      </c>
      <c r="H324" s="1" t="n">
        <v>95.1</v>
      </c>
      <c r="I324" s="1" t="n">
        <v>50</v>
      </c>
    </row>
    <row r="325" customFormat="false" ht="15.75" hidden="false" customHeight="true" outlineLevel="0" collapsed="false">
      <c r="A325" s="1" t="s">
        <v>380</v>
      </c>
      <c r="B325" s="1" t="s">
        <v>12</v>
      </c>
      <c r="C325" s="1" t="s">
        <v>13</v>
      </c>
      <c r="D325" s="1" t="s">
        <v>14</v>
      </c>
      <c r="E325" s="1" t="n">
        <v>538</v>
      </c>
      <c r="F325" s="1" t="n">
        <v>541</v>
      </c>
      <c r="G325" s="1" t="n">
        <v>53.2</v>
      </c>
      <c r="H325" s="1" t="n">
        <v>95.4</v>
      </c>
      <c r="I325" s="1" t="n">
        <v>260</v>
      </c>
    </row>
    <row r="326" customFormat="false" ht="15.75" hidden="false" customHeight="true" outlineLevel="0" collapsed="false">
      <c r="A326" s="1" t="s">
        <v>381</v>
      </c>
      <c r="B326" s="1" t="s">
        <v>23</v>
      </c>
      <c r="C326" s="1" t="s">
        <v>21</v>
      </c>
      <c r="D326" s="1" t="s">
        <v>14</v>
      </c>
      <c r="E326" s="1" t="n">
        <v>35770</v>
      </c>
      <c r="F326" s="1" t="n">
        <v>35803</v>
      </c>
      <c r="G326" s="1" t="n">
        <v>0.53</v>
      </c>
      <c r="H326" s="1" t="n">
        <v>1436.1</v>
      </c>
      <c r="I326" s="1" t="n">
        <v>4600</v>
      </c>
    </row>
    <row r="327" customFormat="false" ht="15.75" hidden="false" customHeight="true" outlineLevel="0" collapsed="false">
      <c r="A327" s="1" t="s">
        <v>382</v>
      </c>
      <c r="B327" s="1" t="s">
        <v>52</v>
      </c>
      <c r="C327" s="1" t="s">
        <v>13</v>
      </c>
      <c r="D327" s="1" t="s">
        <v>18</v>
      </c>
      <c r="E327" s="1" t="n">
        <v>530</v>
      </c>
      <c r="F327" s="1" t="n">
        <v>546</v>
      </c>
      <c r="G327" s="1" t="n">
        <v>97.5</v>
      </c>
      <c r="H327" s="1" t="n">
        <v>94.5</v>
      </c>
      <c r="I327" s="1" t="n">
        <v>40</v>
      </c>
    </row>
    <row r="328" customFormat="false" ht="15.75" hidden="false" customHeight="true" outlineLevel="0" collapsed="false">
      <c r="A328" s="1" t="s">
        <v>383</v>
      </c>
      <c r="B328" s="1" t="s">
        <v>52</v>
      </c>
      <c r="C328" s="1" t="s">
        <v>37</v>
      </c>
      <c r="D328" s="1" t="s">
        <v>18</v>
      </c>
      <c r="E328" s="1" t="n">
        <v>739</v>
      </c>
      <c r="F328" s="1" t="n">
        <v>746</v>
      </c>
      <c r="G328" s="1" t="n">
        <v>98.4</v>
      </c>
      <c r="H328" s="1" t="n">
        <v>99.8</v>
      </c>
      <c r="I328" s="1" t="n">
        <v>2500</v>
      </c>
    </row>
    <row r="329" customFormat="false" ht="15.75" hidden="false" customHeight="true" outlineLevel="0" collapsed="false">
      <c r="A329" s="1" t="s">
        <v>384</v>
      </c>
      <c r="B329" s="1" t="s">
        <v>12</v>
      </c>
      <c r="C329" s="1" t="s">
        <v>13</v>
      </c>
      <c r="D329" s="1" t="s">
        <v>14</v>
      </c>
      <c r="E329" s="1" t="n">
        <v>564</v>
      </c>
      <c r="F329" s="1" t="n">
        <v>567</v>
      </c>
      <c r="G329" s="1" t="n">
        <v>43</v>
      </c>
      <c r="H329" s="1" t="n">
        <v>95.8</v>
      </c>
      <c r="I329" s="1" t="n">
        <v>290</v>
      </c>
    </row>
    <row r="330" customFormat="false" ht="15.75" hidden="false" customHeight="true" outlineLevel="0" collapsed="false">
      <c r="A330" s="1" t="s">
        <v>385</v>
      </c>
      <c r="B330" s="1" t="s">
        <v>12</v>
      </c>
      <c r="C330" s="1" t="s">
        <v>13</v>
      </c>
      <c r="D330" s="1" t="s">
        <v>14</v>
      </c>
      <c r="E330" s="1" t="n">
        <v>548</v>
      </c>
      <c r="F330" s="1" t="n">
        <v>561</v>
      </c>
      <c r="G330" s="1" t="n">
        <v>53</v>
      </c>
      <c r="H330" s="1" t="n">
        <v>95.6</v>
      </c>
      <c r="I330" s="1" t="n">
        <v>260</v>
      </c>
    </row>
    <row r="331" customFormat="false" ht="15.75" hidden="false" customHeight="true" outlineLevel="0" collapsed="false">
      <c r="A331" s="1" t="s">
        <v>386</v>
      </c>
      <c r="B331" s="1" t="s">
        <v>12</v>
      </c>
      <c r="C331" s="1" t="s">
        <v>13</v>
      </c>
      <c r="D331" s="1" t="s">
        <v>14</v>
      </c>
      <c r="E331" s="1" t="n">
        <v>539</v>
      </c>
      <c r="F331" s="1" t="n">
        <v>541</v>
      </c>
      <c r="G331" s="1" t="n">
        <v>53</v>
      </c>
      <c r="H331" s="1" t="n">
        <v>95.4</v>
      </c>
      <c r="I331" s="1" t="n">
        <v>260</v>
      </c>
    </row>
    <row r="332" customFormat="false" ht="15.75" hidden="false" customHeight="true" outlineLevel="0" collapsed="false">
      <c r="A332" s="1" t="s">
        <v>387</v>
      </c>
      <c r="B332" s="1" t="s">
        <v>12</v>
      </c>
      <c r="C332" s="1" t="s">
        <v>13</v>
      </c>
      <c r="D332" s="1" t="s">
        <v>14</v>
      </c>
      <c r="E332" s="1" t="n">
        <v>539</v>
      </c>
      <c r="F332" s="1" t="n">
        <v>541</v>
      </c>
      <c r="G332" s="1" t="n">
        <v>53</v>
      </c>
      <c r="H332" s="1" t="n">
        <v>95.4</v>
      </c>
      <c r="I332" s="1" t="n">
        <v>260</v>
      </c>
    </row>
    <row r="333" customFormat="false" ht="15.75" hidden="false" customHeight="true" outlineLevel="0" collapsed="false">
      <c r="A333" s="1" t="s">
        <v>388</v>
      </c>
      <c r="B333" s="1" t="s">
        <v>12</v>
      </c>
      <c r="C333" s="1" t="s">
        <v>13</v>
      </c>
      <c r="D333" s="1" t="s">
        <v>14</v>
      </c>
      <c r="E333" s="1" t="n">
        <v>539</v>
      </c>
      <c r="F333" s="1" t="n">
        <v>541</v>
      </c>
      <c r="G333" s="1" t="n">
        <v>53.2</v>
      </c>
      <c r="H333" s="1" t="n">
        <v>95.4</v>
      </c>
      <c r="I333" s="1" t="n">
        <v>260</v>
      </c>
    </row>
    <row r="334" customFormat="false" ht="15.75" hidden="false" customHeight="true" outlineLevel="0" collapsed="false">
      <c r="A334" s="1" t="s">
        <v>389</v>
      </c>
      <c r="B334" s="1" t="s">
        <v>12</v>
      </c>
      <c r="C334" s="1" t="s">
        <v>390</v>
      </c>
      <c r="D334" s="1" t="s">
        <v>58</v>
      </c>
      <c r="E334" s="1" t="n">
        <v>627</v>
      </c>
      <c r="F334" s="1" t="n">
        <v>654</v>
      </c>
      <c r="G334" s="1" t="n">
        <v>71.97</v>
      </c>
      <c r="H334" s="1" t="n">
        <v>97.54</v>
      </c>
      <c r="I334" s="1" t="n">
        <v>55</v>
      </c>
    </row>
    <row r="335" customFormat="false" ht="15.75" hidden="false" customHeight="true" outlineLevel="0" collapsed="false">
      <c r="A335" s="1" t="s">
        <v>391</v>
      </c>
      <c r="B335" s="1" t="s">
        <v>12</v>
      </c>
      <c r="C335" s="1" t="s">
        <v>21</v>
      </c>
      <c r="D335" s="1" t="s">
        <v>58</v>
      </c>
      <c r="E335" s="1" t="n">
        <v>150</v>
      </c>
      <c r="F335" s="1" t="n">
        <v>150</v>
      </c>
      <c r="G335" s="1" t="n">
        <v>50</v>
      </c>
    </row>
    <row r="336" customFormat="false" ht="15.75" hidden="false" customHeight="true" outlineLevel="0" collapsed="false">
      <c r="A336" s="1" t="s">
        <v>392</v>
      </c>
      <c r="B336" s="1" t="s">
        <v>12</v>
      </c>
      <c r="C336" s="1" t="s">
        <v>13</v>
      </c>
      <c r="D336" s="1" t="s">
        <v>18</v>
      </c>
      <c r="E336" s="1" t="n">
        <v>479</v>
      </c>
      <c r="F336" s="1" t="n">
        <v>510</v>
      </c>
      <c r="G336" s="1" t="n">
        <v>97.3</v>
      </c>
      <c r="H336" s="1" t="n">
        <v>94.5</v>
      </c>
      <c r="I336" s="1" t="n">
        <v>4</v>
      </c>
    </row>
    <row r="337" customFormat="false" ht="15.75" hidden="false" customHeight="true" outlineLevel="0" collapsed="false">
      <c r="A337" s="1" t="s">
        <v>393</v>
      </c>
      <c r="B337" s="1" t="s">
        <v>12</v>
      </c>
      <c r="C337" s="1" t="s">
        <v>13</v>
      </c>
      <c r="D337" s="1" t="s">
        <v>14</v>
      </c>
      <c r="E337" s="1" t="n">
        <v>564</v>
      </c>
      <c r="F337" s="1" t="n">
        <v>567</v>
      </c>
      <c r="G337" s="1" t="n">
        <v>43</v>
      </c>
      <c r="H337" s="1" t="n">
        <v>95.8</v>
      </c>
      <c r="I337" s="1" t="n">
        <v>290</v>
      </c>
    </row>
    <row r="338" customFormat="false" ht="15.75" hidden="false" customHeight="true" outlineLevel="0" collapsed="false">
      <c r="A338" s="1" t="s">
        <v>394</v>
      </c>
      <c r="B338" s="1" t="s">
        <v>12</v>
      </c>
      <c r="C338" s="1" t="s">
        <v>13</v>
      </c>
      <c r="D338" s="1" t="s">
        <v>14</v>
      </c>
      <c r="E338" s="1" t="n">
        <v>549</v>
      </c>
      <c r="F338" s="1" t="n">
        <v>551</v>
      </c>
      <c r="G338" s="1" t="n">
        <v>53</v>
      </c>
      <c r="H338" s="1" t="n">
        <v>90.4</v>
      </c>
      <c r="I338" s="1" t="n">
        <v>227</v>
      </c>
    </row>
    <row r="339" customFormat="false" ht="15.75" hidden="false" customHeight="true" outlineLevel="0" collapsed="false">
      <c r="A339" s="1" t="s">
        <v>395</v>
      </c>
      <c r="B339" s="1" t="s">
        <v>12</v>
      </c>
      <c r="C339" s="1" t="s">
        <v>13</v>
      </c>
      <c r="D339" s="1" t="s">
        <v>14</v>
      </c>
      <c r="E339" s="1" t="n">
        <v>548</v>
      </c>
      <c r="F339" s="1" t="n">
        <v>561</v>
      </c>
      <c r="G339" s="1" t="n">
        <v>53</v>
      </c>
      <c r="H339" s="1" t="n">
        <v>95.6</v>
      </c>
      <c r="I339" s="1" t="n">
        <v>260</v>
      </c>
    </row>
    <row r="340" customFormat="false" ht="15.75" hidden="false" customHeight="true" outlineLevel="0" collapsed="false">
      <c r="A340" s="1" t="s">
        <v>396</v>
      </c>
      <c r="B340" s="1" t="s">
        <v>12</v>
      </c>
      <c r="C340" s="1" t="s">
        <v>13</v>
      </c>
      <c r="D340" s="1" t="s">
        <v>14</v>
      </c>
      <c r="E340" s="1" t="n">
        <v>539</v>
      </c>
      <c r="F340" s="1" t="n">
        <v>541</v>
      </c>
      <c r="G340" s="1" t="n">
        <v>53</v>
      </c>
      <c r="H340" s="1" t="n">
        <v>95.4</v>
      </c>
      <c r="I340" s="1" t="n">
        <v>260</v>
      </c>
    </row>
    <row r="341" customFormat="false" ht="15.75" hidden="false" customHeight="true" outlineLevel="0" collapsed="false">
      <c r="A341" s="1" t="s">
        <v>397</v>
      </c>
      <c r="B341" s="1" t="s">
        <v>12</v>
      </c>
      <c r="C341" s="1" t="s">
        <v>13</v>
      </c>
      <c r="D341" s="1" t="s">
        <v>14</v>
      </c>
      <c r="E341" s="1" t="n">
        <v>564</v>
      </c>
      <c r="F341" s="1" t="n">
        <v>567</v>
      </c>
      <c r="G341" s="1" t="n">
        <v>43</v>
      </c>
      <c r="H341" s="1" t="n">
        <v>95.8</v>
      </c>
      <c r="I341" s="1" t="n">
        <v>290</v>
      </c>
    </row>
    <row r="342" customFormat="false" ht="15.75" hidden="false" customHeight="true" outlineLevel="0" collapsed="false">
      <c r="A342" s="1" t="s">
        <v>398</v>
      </c>
      <c r="B342" s="1" t="s">
        <v>12</v>
      </c>
      <c r="C342" s="1" t="s">
        <v>13</v>
      </c>
      <c r="D342" s="1" t="s">
        <v>14</v>
      </c>
      <c r="E342" s="1" t="n">
        <v>573</v>
      </c>
      <c r="F342" s="1" t="n">
        <v>589</v>
      </c>
      <c r="G342" s="1" t="n">
        <v>97.7</v>
      </c>
      <c r="H342" s="1" t="n">
        <v>96.3</v>
      </c>
      <c r="I342" s="1" t="n">
        <v>2</v>
      </c>
    </row>
    <row r="343" customFormat="false" ht="15.75" hidden="false" customHeight="true" outlineLevel="0" collapsed="false">
      <c r="A343" s="1" t="s">
        <v>399</v>
      </c>
      <c r="B343" s="1" t="s">
        <v>12</v>
      </c>
      <c r="C343" s="1" t="s">
        <v>13</v>
      </c>
      <c r="D343" s="1" t="s">
        <v>14</v>
      </c>
      <c r="E343" s="1" t="n">
        <v>443</v>
      </c>
      <c r="F343" s="1" t="n">
        <v>446</v>
      </c>
      <c r="G343" s="1" t="n">
        <v>53.2</v>
      </c>
      <c r="H343" s="1" t="n">
        <v>93.5</v>
      </c>
      <c r="I343" s="1" t="n">
        <v>260</v>
      </c>
    </row>
    <row r="344" customFormat="false" ht="15.75" hidden="false" customHeight="true" outlineLevel="0" collapsed="false">
      <c r="A344" s="1" t="s">
        <v>400</v>
      </c>
      <c r="B344" s="1" t="s">
        <v>23</v>
      </c>
      <c r="C344" s="1" t="s">
        <v>13</v>
      </c>
      <c r="D344" s="1" t="s">
        <v>14</v>
      </c>
      <c r="E344" s="1" t="n">
        <v>600</v>
      </c>
      <c r="F344" s="1" t="n">
        <v>610</v>
      </c>
      <c r="G344" s="1" t="n">
        <v>87.4</v>
      </c>
      <c r="H344" s="1" t="n">
        <v>96.75</v>
      </c>
      <c r="I344" s="1" t="n">
        <v>148</v>
      </c>
    </row>
    <row r="345" customFormat="false" ht="15.75" hidden="false" customHeight="true" outlineLevel="0" collapsed="false">
      <c r="A345" s="1" t="s">
        <v>401</v>
      </c>
      <c r="B345" s="1" t="s">
        <v>402</v>
      </c>
      <c r="C345" s="1" t="s">
        <v>13</v>
      </c>
      <c r="D345" s="1" t="s">
        <v>14</v>
      </c>
      <c r="E345" s="1" t="n">
        <v>609</v>
      </c>
      <c r="F345" s="1" t="n">
        <v>613</v>
      </c>
      <c r="G345" s="1" t="n">
        <v>97.8</v>
      </c>
      <c r="H345" s="1" t="n">
        <v>95.8</v>
      </c>
      <c r="I345" s="1" t="n">
        <v>9</v>
      </c>
    </row>
    <row r="346" customFormat="false" ht="15.75" hidden="false" customHeight="true" outlineLevel="0" collapsed="false">
      <c r="A346" s="1" t="s">
        <v>403</v>
      </c>
      <c r="B346" s="1" t="s">
        <v>12</v>
      </c>
      <c r="C346" s="1" t="s">
        <v>83</v>
      </c>
      <c r="D346" s="1" t="s">
        <v>14</v>
      </c>
      <c r="E346" s="1" t="n">
        <v>609</v>
      </c>
      <c r="F346" s="1" t="n">
        <v>624</v>
      </c>
      <c r="G346" s="1" t="n">
        <v>86.6</v>
      </c>
      <c r="H346" s="1" t="n">
        <v>97</v>
      </c>
      <c r="I346" s="1" t="n">
        <v>860</v>
      </c>
    </row>
    <row r="347" customFormat="false" ht="15.75" hidden="false" customHeight="true" outlineLevel="0" collapsed="false">
      <c r="A347" s="1" t="s">
        <v>404</v>
      </c>
      <c r="B347" s="1" t="s">
        <v>23</v>
      </c>
      <c r="C347" s="1" t="s">
        <v>13</v>
      </c>
      <c r="D347" s="1" t="s">
        <v>14</v>
      </c>
      <c r="E347" s="1" t="n">
        <v>1176</v>
      </c>
      <c r="F347" s="1" t="n">
        <v>1179</v>
      </c>
      <c r="G347" s="1" t="n">
        <v>87.9</v>
      </c>
      <c r="H347" s="1" t="n">
        <v>108.9</v>
      </c>
      <c r="I347" s="1" t="n">
        <v>148</v>
      </c>
    </row>
    <row r="348" customFormat="false" ht="15.75" hidden="false" customHeight="true" outlineLevel="0" collapsed="false">
      <c r="A348" s="1" t="s">
        <v>405</v>
      </c>
      <c r="B348" s="1" t="s">
        <v>52</v>
      </c>
      <c r="C348" s="1" t="s">
        <v>37</v>
      </c>
      <c r="D348" s="1" t="s">
        <v>18</v>
      </c>
      <c r="E348" s="1" t="n">
        <v>611</v>
      </c>
      <c r="F348" s="1" t="n">
        <v>621</v>
      </c>
      <c r="G348" s="1" t="n">
        <v>97.8</v>
      </c>
      <c r="H348" s="1" t="n">
        <v>97.03</v>
      </c>
      <c r="I348" s="1" t="n">
        <v>1000</v>
      </c>
    </row>
    <row r="349" customFormat="false" ht="15.75" hidden="false" customHeight="true" outlineLevel="0" collapsed="false">
      <c r="A349" s="1" t="s">
        <v>406</v>
      </c>
      <c r="B349" s="1" t="s">
        <v>12</v>
      </c>
      <c r="C349" s="1" t="s">
        <v>13</v>
      </c>
      <c r="D349" s="1" t="s">
        <v>14</v>
      </c>
      <c r="E349" s="1" t="n">
        <v>577</v>
      </c>
      <c r="F349" s="1" t="n">
        <v>581</v>
      </c>
      <c r="G349" s="1" t="n">
        <v>70</v>
      </c>
      <c r="H349" s="1" t="n">
        <v>96.1</v>
      </c>
      <c r="I349" s="1" t="n">
        <v>290</v>
      </c>
    </row>
    <row r="350" customFormat="false" ht="15.75" hidden="false" customHeight="true" outlineLevel="0" collapsed="false">
      <c r="A350" s="1" t="s">
        <v>407</v>
      </c>
      <c r="B350" s="1" t="s">
        <v>12</v>
      </c>
      <c r="C350" s="1" t="s">
        <v>13</v>
      </c>
      <c r="D350" s="1" t="s">
        <v>18</v>
      </c>
      <c r="E350" s="1" t="n">
        <v>533</v>
      </c>
      <c r="F350" s="1" t="n">
        <v>535</v>
      </c>
      <c r="G350" s="1" t="n">
        <v>97.5</v>
      </c>
      <c r="H350" s="1" t="n">
        <v>94.7</v>
      </c>
      <c r="I350" s="1" t="n">
        <v>4</v>
      </c>
    </row>
    <row r="351" customFormat="false" ht="15.75" hidden="false" customHeight="true" outlineLevel="0" collapsed="false">
      <c r="A351" s="1" t="s">
        <v>408</v>
      </c>
      <c r="B351" s="1" t="s">
        <v>52</v>
      </c>
      <c r="C351" s="1" t="s">
        <v>37</v>
      </c>
      <c r="D351" s="1" t="s">
        <v>14</v>
      </c>
      <c r="E351" s="1" t="n">
        <v>35759</v>
      </c>
      <c r="F351" s="1" t="n">
        <v>35812</v>
      </c>
      <c r="G351" s="1" t="n">
        <v>0.03</v>
      </c>
      <c r="H351" s="1" t="n">
        <v>1436.1</v>
      </c>
    </row>
    <row r="352" customFormat="false" ht="15.75" hidden="false" customHeight="true" outlineLevel="0" collapsed="false">
      <c r="A352" s="1" t="s">
        <v>409</v>
      </c>
      <c r="B352" s="1" t="s">
        <v>52</v>
      </c>
      <c r="C352" s="1" t="s">
        <v>354</v>
      </c>
      <c r="D352" s="1" t="s">
        <v>48</v>
      </c>
      <c r="E352" s="1" t="n">
        <v>35693</v>
      </c>
      <c r="F352" s="1" t="n">
        <v>37872</v>
      </c>
      <c r="G352" s="1" t="n">
        <v>96.4</v>
      </c>
      <c r="H352" s="1" t="n">
        <v>1435.93</v>
      </c>
      <c r="I352" s="1" t="n">
        <v>4200</v>
      </c>
    </row>
    <row r="353" customFormat="false" ht="15.75" hidden="false" customHeight="true" outlineLevel="0" collapsed="false">
      <c r="A353" s="1" t="s">
        <v>410</v>
      </c>
      <c r="B353" s="1" t="s">
        <v>52</v>
      </c>
      <c r="C353" s="1" t="s">
        <v>354</v>
      </c>
      <c r="D353" s="1" t="s">
        <v>48</v>
      </c>
      <c r="E353" s="1" t="n">
        <v>21514</v>
      </c>
      <c r="F353" s="1" t="n">
        <v>21541</v>
      </c>
      <c r="G353" s="1" t="n">
        <v>55</v>
      </c>
      <c r="H353" s="1" t="n">
        <v>773.2</v>
      </c>
      <c r="I353" s="1" t="n">
        <v>800</v>
      </c>
    </row>
    <row r="354" customFormat="false" ht="15.75" hidden="false" customHeight="true" outlineLevel="0" collapsed="false">
      <c r="A354" s="1" t="s">
        <v>411</v>
      </c>
      <c r="B354" s="1" t="s">
        <v>12</v>
      </c>
      <c r="C354" s="1" t="s">
        <v>13</v>
      </c>
      <c r="D354" s="1" t="s">
        <v>14</v>
      </c>
      <c r="E354" s="1" t="n">
        <v>562</v>
      </c>
      <c r="F354" s="1" t="n">
        <v>564</v>
      </c>
      <c r="G354" s="1" t="n">
        <v>97.6</v>
      </c>
      <c r="H354" s="1" t="n">
        <v>95.9</v>
      </c>
      <c r="I354" s="1" t="n">
        <v>260</v>
      </c>
    </row>
    <row r="355" customFormat="false" ht="15.75" hidden="false" customHeight="true" outlineLevel="0" collapsed="false">
      <c r="A355" s="1" t="s">
        <v>412</v>
      </c>
      <c r="B355" s="1" t="s">
        <v>12</v>
      </c>
      <c r="C355" s="1" t="s">
        <v>13</v>
      </c>
      <c r="D355" s="1" t="s">
        <v>14</v>
      </c>
      <c r="E355" s="1" t="n">
        <v>577</v>
      </c>
      <c r="F355" s="1" t="n">
        <v>580</v>
      </c>
      <c r="G355" s="1" t="n">
        <v>70</v>
      </c>
      <c r="H355" s="1" t="n">
        <v>96.1</v>
      </c>
      <c r="I355" s="1" t="n">
        <v>290</v>
      </c>
    </row>
    <row r="356" customFormat="false" ht="15.75" hidden="false" customHeight="true" outlineLevel="0" collapsed="false">
      <c r="A356" s="1" t="s">
        <v>413</v>
      </c>
      <c r="B356" s="1" t="s">
        <v>12</v>
      </c>
      <c r="C356" s="1" t="s">
        <v>13</v>
      </c>
      <c r="D356" s="1" t="s">
        <v>14</v>
      </c>
      <c r="E356" s="1" t="n">
        <v>562</v>
      </c>
      <c r="F356" s="1" t="n">
        <v>564</v>
      </c>
      <c r="G356" s="1" t="n">
        <v>97.6</v>
      </c>
      <c r="H356" s="1" t="n">
        <v>95.9</v>
      </c>
      <c r="I356" s="1" t="n">
        <v>260</v>
      </c>
    </row>
    <row r="357" customFormat="false" ht="15.75" hidden="false" customHeight="true" outlineLevel="0" collapsed="false">
      <c r="A357" s="1" t="s">
        <v>414</v>
      </c>
      <c r="B357" s="1" t="s">
        <v>23</v>
      </c>
      <c r="C357" s="1" t="s">
        <v>13</v>
      </c>
      <c r="D357" s="1" t="s">
        <v>14</v>
      </c>
      <c r="E357" s="1" t="n">
        <v>977</v>
      </c>
      <c r="F357" s="1" t="n">
        <v>982</v>
      </c>
      <c r="G357" s="1" t="n">
        <v>87.5</v>
      </c>
      <c r="H357" s="1" t="n">
        <v>104.5</v>
      </c>
      <c r="I357" s="1" t="n">
        <v>148</v>
      </c>
    </row>
    <row r="358" customFormat="false" ht="15.75" hidden="false" customHeight="true" outlineLevel="0" collapsed="false">
      <c r="A358" s="1" t="s">
        <v>415</v>
      </c>
      <c r="B358" s="1" t="s">
        <v>12</v>
      </c>
      <c r="C358" s="1" t="s">
        <v>13</v>
      </c>
      <c r="D358" s="1" t="s">
        <v>161</v>
      </c>
      <c r="E358" s="1" t="n">
        <v>521</v>
      </c>
      <c r="F358" s="1" t="n">
        <v>536</v>
      </c>
      <c r="G358" s="1" t="n">
        <v>97.5</v>
      </c>
      <c r="H358" s="1" t="n">
        <v>94.5</v>
      </c>
      <c r="I358" s="1" t="n">
        <v>6</v>
      </c>
    </row>
    <row r="359" customFormat="false" ht="15.75" hidden="false" customHeight="true" outlineLevel="0" collapsed="false">
      <c r="A359" s="1" t="s">
        <v>416</v>
      </c>
      <c r="B359" s="1" t="s">
        <v>12</v>
      </c>
      <c r="C359" s="1" t="s">
        <v>13</v>
      </c>
      <c r="D359" s="1" t="s">
        <v>14</v>
      </c>
      <c r="E359" s="1" t="n">
        <v>260</v>
      </c>
      <c r="F359" s="1" t="n">
        <v>280</v>
      </c>
      <c r="G359" s="1" t="n">
        <v>53</v>
      </c>
      <c r="H359" s="1" t="n">
        <v>95.6</v>
      </c>
      <c r="I359" s="1" t="n">
        <v>260</v>
      </c>
    </row>
    <row r="360" customFormat="false" ht="15.75" hidden="false" customHeight="true" outlineLevel="0" collapsed="false">
      <c r="A360" s="1" t="s">
        <v>417</v>
      </c>
      <c r="B360" s="1" t="s">
        <v>12</v>
      </c>
      <c r="C360" s="1" t="s">
        <v>13</v>
      </c>
      <c r="D360" s="1" t="s">
        <v>14</v>
      </c>
      <c r="E360" s="1" t="n">
        <v>561</v>
      </c>
      <c r="F360" s="1" t="n">
        <v>564</v>
      </c>
      <c r="G360" s="1" t="n">
        <v>97.7</v>
      </c>
      <c r="H360" s="1" t="n">
        <v>95.9</v>
      </c>
      <c r="I360" s="1" t="n">
        <v>260</v>
      </c>
    </row>
    <row r="361" customFormat="false" ht="15.75" hidden="false" customHeight="true" outlineLevel="0" collapsed="false">
      <c r="A361" s="1" t="s">
        <v>418</v>
      </c>
      <c r="B361" s="1" t="s">
        <v>12</v>
      </c>
      <c r="C361" s="1" t="s">
        <v>13</v>
      </c>
      <c r="D361" s="1" t="s">
        <v>14</v>
      </c>
      <c r="E361" s="1" t="n">
        <v>348</v>
      </c>
      <c r="F361" s="1" t="n">
        <v>351</v>
      </c>
      <c r="G361" s="1" t="n">
        <v>53.2</v>
      </c>
      <c r="H361" s="1" t="n">
        <v>91.5</v>
      </c>
      <c r="I361" s="1" t="n">
        <v>260</v>
      </c>
    </row>
    <row r="362" customFormat="false" ht="15.75" hidden="false" customHeight="true" outlineLevel="0" collapsed="false">
      <c r="A362" s="1" t="s">
        <v>419</v>
      </c>
      <c r="B362" s="1" t="s">
        <v>420</v>
      </c>
      <c r="C362" s="1" t="s">
        <v>13</v>
      </c>
      <c r="D362" s="1" t="s">
        <v>421</v>
      </c>
      <c r="E362" s="1" t="n">
        <v>604</v>
      </c>
      <c r="F362" s="1" t="n">
        <v>674</v>
      </c>
      <c r="G362" s="1" t="n">
        <v>98.1</v>
      </c>
      <c r="H362" s="1" t="n">
        <v>97.5</v>
      </c>
      <c r="I362" s="1" t="n">
        <v>12</v>
      </c>
    </row>
    <row r="363" customFormat="false" ht="15.75" hidden="false" customHeight="true" outlineLevel="0" collapsed="false">
      <c r="A363" s="1" t="s">
        <v>422</v>
      </c>
      <c r="B363" s="1" t="s">
        <v>12</v>
      </c>
      <c r="C363" s="1" t="s">
        <v>13</v>
      </c>
      <c r="D363" s="1" t="s">
        <v>14</v>
      </c>
      <c r="E363" s="1" t="n">
        <v>548</v>
      </c>
      <c r="F363" s="1" t="n">
        <v>561</v>
      </c>
      <c r="G363" s="1" t="n">
        <v>53</v>
      </c>
      <c r="H363" s="1" t="n">
        <v>95.6</v>
      </c>
      <c r="I363" s="1" t="n">
        <v>260</v>
      </c>
    </row>
    <row r="364" customFormat="false" ht="15.75" hidden="false" customHeight="true" outlineLevel="0" collapsed="false">
      <c r="A364" s="1" t="s">
        <v>423</v>
      </c>
      <c r="B364" s="1" t="s">
        <v>12</v>
      </c>
      <c r="C364" s="1" t="s">
        <v>13</v>
      </c>
      <c r="D364" s="1" t="s">
        <v>14</v>
      </c>
      <c r="E364" s="1" t="n">
        <v>577</v>
      </c>
      <c r="F364" s="1" t="n">
        <v>581</v>
      </c>
      <c r="G364" s="1" t="n">
        <v>70</v>
      </c>
      <c r="H364" s="1" t="n">
        <v>96.1</v>
      </c>
      <c r="I364" s="1" t="n">
        <v>290</v>
      </c>
    </row>
    <row r="365" customFormat="false" ht="15.75" hidden="false" customHeight="true" outlineLevel="0" collapsed="false">
      <c r="A365" s="1" t="s">
        <v>424</v>
      </c>
      <c r="B365" s="1" t="s">
        <v>52</v>
      </c>
      <c r="C365" s="1" t="s">
        <v>37</v>
      </c>
      <c r="D365" s="1" t="s">
        <v>58</v>
      </c>
      <c r="E365" s="1" t="n">
        <v>489</v>
      </c>
      <c r="F365" s="1" t="n">
        <v>502</v>
      </c>
      <c r="G365" s="1" t="n">
        <v>97.5</v>
      </c>
      <c r="H365" s="1" t="n">
        <v>99.6</v>
      </c>
      <c r="I365" s="1" t="n">
        <v>200</v>
      </c>
    </row>
    <row r="366" customFormat="false" ht="15.75" hidden="false" customHeight="true" outlineLevel="0" collapsed="false">
      <c r="A366" s="1" t="s">
        <v>425</v>
      </c>
      <c r="B366" s="1" t="s">
        <v>20</v>
      </c>
      <c r="C366" s="1" t="s">
        <v>47</v>
      </c>
      <c r="D366" s="1" t="s">
        <v>48</v>
      </c>
      <c r="E366" s="1" t="n">
        <v>19131</v>
      </c>
      <c r="F366" s="1" t="n">
        <v>19133</v>
      </c>
      <c r="G366" s="1" t="n">
        <v>64.77</v>
      </c>
      <c r="H366" s="1" t="n">
        <v>675.81</v>
      </c>
      <c r="I366" s="1" t="n">
        <v>1415</v>
      </c>
    </row>
    <row r="367" customFormat="false" ht="15.75" hidden="false" customHeight="true" outlineLevel="0" collapsed="false">
      <c r="A367" s="1" t="s">
        <v>426</v>
      </c>
      <c r="B367" s="1" t="s">
        <v>12</v>
      </c>
      <c r="C367" s="1" t="s">
        <v>13</v>
      </c>
      <c r="D367" s="1" t="s">
        <v>14</v>
      </c>
      <c r="E367" s="1" t="n">
        <v>376</v>
      </c>
      <c r="F367" s="1" t="n">
        <v>383</v>
      </c>
      <c r="G367" s="1" t="n">
        <v>53</v>
      </c>
      <c r="H367" s="1" t="n">
        <v>95.6</v>
      </c>
      <c r="I367" s="1" t="n">
        <v>227</v>
      </c>
    </row>
    <row r="368" customFormat="false" ht="15.75" hidden="false" customHeight="true" outlineLevel="0" collapsed="false">
      <c r="A368" s="1" t="s">
        <v>427</v>
      </c>
      <c r="B368" s="1" t="s">
        <v>12</v>
      </c>
      <c r="C368" s="1" t="s">
        <v>13</v>
      </c>
      <c r="D368" s="1" t="s">
        <v>14</v>
      </c>
      <c r="E368" s="1" t="n">
        <v>549</v>
      </c>
      <c r="F368" s="1" t="n">
        <v>551</v>
      </c>
      <c r="G368" s="1" t="n">
        <v>53.1</v>
      </c>
      <c r="H368" s="1" t="n">
        <v>95.6</v>
      </c>
      <c r="I368" s="1" t="n">
        <v>227</v>
      </c>
    </row>
    <row r="369" customFormat="false" ht="15.75" hidden="false" customHeight="true" outlineLevel="0" collapsed="false">
      <c r="A369" s="1" t="s">
        <v>428</v>
      </c>
      <c r="B369" s="1" t="s">
        <v>12</v>
      </c>
      <c r="C369" s="1" t="s">
        <v>13</v>
      </c>
      <c r="D369" s="1" t="s">
        <v>14</v>
      </c>
      <c r="E369" s="1" t="n">
        <v>548</v>
      </c>
      <c r="F369" s="1" t="n">
        <v>550</v>
      </c>
      <c r="G369" s="1" t="n">
        <v>53</v>
      </c>
      <c r="H369" s="1" t="n">
        <v>90.4</v>
      </c>
      <c r="I369" s="1" t="n">
        <v>227</v>
      </c>
    </row>
    <row r="370" customFormat="false" ht="15.75" hidden="false" customHeight="true" outlineLevel="0" collapsed="false">
      <c r="A370" s="1" t="s">
        <v>429</v>
      </c>
      <c r="B370" s="1" t="s">
        <v>12</v>
      </c>
      <c r="C370" s="1" t="s">
        <v>83</v>
      </c>
      <c r="D370" s="1" t="s">
        <v>14</v>
      </c>
      <c r="E370" s="1" t="n">
        <v>606</v>
      </c>
      <c r="F370" s="1" t="n">
        <v>625</v>
      </c>
      <c r="G370" s="1" t="n">
        <v>86.6</v>
      </c>
      <c r="H370" s="1" t="n">
        <v>97</v>
      </c>
      <c r="I370" s="1" t="n">
        <v>860</v>
      </c>
    </row>
    <row r="371" customFormat="false" ht="15.75" hidden="false" customHeight="true" outlineLevel="0" collapsed="false">
      <c r="A371" s="1" t="s">
        <v>430</v>
      </c>
      <c r="B371" s="1" t="s">
        <v>12</v>
      </c>
      <c r="C371" s="1" t="s">
        <v>13</v>
      </c>
      <c r="D371" s="1" t="s">
        <v>14</v>
      </c>
      <c r="E371" s="1" t="n">
        <v>512</v>
      </c>
      <c r="F371" s="1" t="n">
        <v>536</v>
      </c>
      <c r="G371" s="1" t="n">
        <v>97.5</v>
      </c>
      <c r="H371" s="1" t="n">
        <v>94.3</v>
      </c>
      <c r="I371" s="1" t="n">
        <v>2</v>
      </c>
    </row>
    <row r="372" customFormat="false" ht="15.75" hidden="false" customHeight="true" outlineLevel="0" collapsed="false">
      <c r="A372" s="1" t="s">
        <v>431</v>
      </c>
      <c r="B372" s="1" t="s">
        <v>432</v>
      </c>
      <c r="C372" s="1" t="s">
        <v>97</v>
      </c>
      <c r="D372" s="1" t="s">
        <v>18</v>
      </c>
      <c r="E372" s="1" t="n">
        <v>693</v>
      </c>
      <c r="F372" s="1" t="n">
        <v>704</v>
      </c>
      <c r="G372" s="1" t="n">
        <v>98.2</v>
      </c>
      <c r="H372" s="1" t="n">
        <v>100</v>
      </c>
      <c r="I372" s="1" t="n">
        <v>10</v>
      </c>
    </row>
    <row r="373" customFormat="false" ht="15.75" hidden="false" customHeight="true" outlineLevel="0" collapsed="false">
      <c r="A373" s="1" t="s">
        <v>433</v>
      </c>
      <c r="B373" s="1" t="s">
        <v>12</v>
      </c>
      <c r="C373" s="1" t="s">
        <v>13</v>
      </c>
      <c r="D373" s="1" t="s">
        <v>14</v>
      </c>
      <c r="E373" s="1" t="n">
        <v>565</v>
      </c>
      <c r="F373" s="1" t="n">
        <v>567</v>
      </c>
      <c r="G373" s="1" t="n">
        <v>43</v>
      </c>
      <c r="H373" s="1" t="n">
        <v>95.8</v>
      </c>
      <c r="I373" s="1" t="n">
        <v>290</v>
      </c>
    </row>
    <row r="374" customFormat="false" ht="15.75" hidden="false" customHeight="true" outlineLevel="0" collapsed="false">
      <c r="A374" s="1" t="s">
        <v>434</v>
      </c>
      <c r="B374" s="1" t="s">
        <v>12</v>
      </c>
      <c r="C374" s="1" t="s">
        <v>13</v>
      </c>
      <c r="D374" s="1" t="s">
        <v>14</v>
      </c>
      <c r="E374" s="1" t="n">
        <v>358</v>
      </c>
      <c r="F374" s="1" t="n">
        <v>362</v>
      </c>
      <c r="G374" s="1" t="n">
        <v>70</v>
      </c>
      <c r="H374" s="1" t="n">
        <v>91.8</v>
      </c>
      <c r="I374" s="1" t="n">
        <v>260</v>
      </c>
    </row>
    <row r="375" customFormat="false" ht="15.75" hidden="false" customHeight="true" outlineLevel="0" collapsed="false">
      <c r="A375" s="1" t="s">
        <v>435</v>
      </c>
      <c r="B375" s="1" t="s">
        <v>12</v>
      </c>
      <c r="C375" s="1" t="s">
        <v>13</v>
      </c>
      <c r="D375" s="1" t="s">
        <v>14</v>
      </c>
      <c r="E375" s="1" t="n">
        <v>538</v>
      </c>
      <c r="F375" s="1" t="n">
        <v>541</v>
      </c>
      <c r="G375" s="1" t="n">
        <v>53.2</v>
      </c>
      <c r="H375" s="1" t="n">
        <v>95.4</v>
      </c>
      <c r="I375" s="1" t="n">
        <v>260</v>
      </c>
    </row>
    <row r="376" customFormat="false" ht="15.75" hidden="false" customHeight="true" outlineLevel="0" collapsed="false">
      <c r="A376" s="1" t="s">
        <v>436</v>
      </c>
      <c r="B376" s="1" t="s">
        <v>12</v>
      </c>
      <c r="C376" s="1" t="s">
        <v>13</v>
      </c>
      <c r="D376" s="1" t="s">
        <v>14</v>
      </c>
      <c r="E376" s="1" t="n">
        <v>358</v>
      </c>
      <c r="F376" s="1" t="n">
        <v>362</v>
      </c>
      <c r="G376" s="1" t="n">
        <v>70</v>
      </c>
      <c r="H376" s="1" t="n">
        <v>91.8</v>
      </c>
      <c r="I376" s="1" t="n">
        <v>260</v>
      </c>
    </row>
    <row r="377" customFormat="false" ht="15.75" hidden="false" customHeight="true" outlineLevel="0" collapsed="false">
      <c r="A377" s="1" t="s">
        <v>437</v>
      </c>
      <c r="B377" s="1" t="s">
        <v>12</v>
      </c>
      <c r="C377" s="1" t="s">
        <v>13</v>
      </c>
      <c r="D377" s="1" t="s">
        <v>14</v>
      </c>
      <c r="E377" s="1" t="n">
        <v>548</v>
      </c>
      <c r="F377" s="1" t="n">
        <v>561</v>
      </c>
      <c r="G377" s="1" t="n">
        <v>53</v>
      </c>
      <c r="H377" s="1" t="n">
        <v>95.6</v>
      </c>
      <c r="I377" s="1" t="n">
        <v>260</v>
      </c>
    </row>
    <row r="378" customFormat="false" ht="15.75" hidden="false" customHeight="true" outlineLevel="0" collapsed="false">
      <c r="A378" s="1" t="s">
        <v>438</v>
      </c>
      <c r="B378" s="1" t="s">
        <v>12</v>
      </c>
      <c r="C378" s="1" t="s">
        <v>13</v>
      </c>
      <c r="D378" s="1" t="s">
        <v>14</v>
      </c>
      <c r="E378" s="1" t="n">
        <v>507</v>
      </c>
      <c r="F378" s="1" t="n">
        <v>543</v>
      </c>
      <c r="G378" s="1" t="n">
        <v>97.5</v>
      </c>
      <c r="H378" s="1" t="n">
        <v>94.3</v>
      </c>
      <c r="I378" s="1" t="n">
        <v>2</v>
      </c>
    </row>
    <row r="379" customFormat="false" ht="15.75" hidden="false" customHeight="true" outlineLevel="0" collapsed="false">
      <c r="A379" s="1" t="s">
        <v>439</v>
      </c>
      <c r="B379" s="1" t="s">
        <v>12</v>
      </c>
      <c r="C379" s="1" t="s">
        <v>21</v>
      </c>
      <c r="D379" s="1" t="s">
        <v>440</v>
      </c>
      <c r="E379" s="1" t="n">
        <v>400</v>
      </c>
      <c r="F379" s="1" t="n">
        <v>407</v>
      </c>
      <c r="G379" s="1" t="n">
        <v>51.6</v>
      </c>
      <c r="H379" s="1" t="n">
        <v>92.6</v>
      </c>
      <c r="I379" s="1" t="n">
        <v>50</v>
      </c>
    </row>
    <row r="380" customFormat="false" ht="15.75" hidden="false" customHeight="true" outlineLevel="0" collapsed="false">
      <c r="A380" s="1" t="s">
        <v>441</v>
      </c>
      <c r="B380" s="1" t="s">
        <v>52</v>
      </c>
      <c r="C380" s="1" t="s">
        <v>37</v>
      </c>
      <c r="D380" s="1" t="s">
        <v>58</v>
      </c>
      <c r="E380" s="1" t="n">
        <v>474</v>
      </c>
      <c r="F380" s="1" t="n">
        <v>483</v>
      </c>
      <c r="G380" s="1" t="n">
        <v>35.01</v>
      </c>
      <c r="H380" s="1" t="n">
        <v>94.17</v>
      </c>
    </row>
    <row r="381" customFormat="false" ht="15.75" hidden="false" customHeight="true" outlineLevel="0" collapsed="false">
      <c r="A381" s="1" t="s">
        <v>442</v>
      </c>
      <c r="B381" s="1" t="s">
        <v>12</v>
      </c>
      <c r="C381" s="1" t="s">
        <v>13</v>
      </c>
      <c r="D381" s="1" t="s">
        <v>14</v>
      </c>
      <c r="E381" s="1" t="n">
        <v>565</v>
      </c>
      <c r="F381" s="1" t="n">
        <v>567</v>
      </c>
      <c r="G381" s="1" t="n">
        <v>43</v>
      </c>
      <c r="H381" s="1" t="n">
        <v>95.8</v>
      </c>
      <c r="I381" s="1" t="n">
        <v>260</v>
      </c>
    </row>
    <row r="382" customFormat="false" ht="15.75" hidden="false" customHeight="true" outlineLevel="0" collapsed="false">
      <c r="A382" s="1" t="s">
        <v>443</v>
      </c>
      <c r="B382" s="1" t="s">
        <v>23</v>
      </c>
      <c r="C382" s="1" t="s">
        <v>13</v>
      </c>
      <c r="D382" s="1" t="s">
        <v>14</v>
      </c>
      <c r="E382" s="1" t="n">
        <v>1215</v>
      </c>
      <c r="F382" s="1" t="n">
        <v>1220</v>
      </c>
      <c r="G382" s="1" t="n">
        <v>87.4</v>
      </c>
      <c r="H382" s="1" t="n">
        <v>93.7</v>
      </c>
      <c r="I382" s="1" t="n">
        <v>148</v>
      </c>
    </row>
    <row r="383" customFormat="false" ht="15.75" hidden="false" customHeight="true" outlineLevel="0" collapsed="false">
      <c r="A383" s="1" t="s">
        <v>444</v>
      </c>
      <c r="B383" s="1" t="s">
        <v>23</v>
      </c>
      <c r="C383" s="1" t="s">
        <v>13</v>
      </c>
      <c r="D383" s="1" t="s">
        <v>14</v>
      </c>
      <c r="E383" s="1" t="n">
        <v>1215</v>
      </c>
      <c r="F383" s="1" t="n">
        <v>1220</v>
      </c>
      <c r="G383" s="1" t="n">
        <v>87.4</v>
      </c>
      <c r="H383" s="1" t="n">
        <v>93.5</v>
      </c>
      <c r="I383" s="1" t="n">
        <v>148</v>
      </c>
    </row>
    <row r="384" customFormat="false" ht="15.75" hidden="false" customHeight="true" outlineLevel="0" collapsed="false">
      <c r="A384" s="1" t="s">
        <v>445</v>
      </c>
      <c r="B384" s="1" t="s">
        <v>12</v>
      </c>
      <c r="C384" s="1" t="s">
        <v>13</v>
      </c>
      <c r="D384" s="1" t="s">
        <v>14</v>
      </c>
      <c r="E384" s="1" t="n">
        <v>258</v>
      </c>
      <c r="F384" s="1" t="n">
        <v>280</v>
      </c>
      <c r="G384" s="1" t="n">
        <v>53</v>
      </c>
      <c r="H384" s="1" t="n">
        <v>95.6</v>
      </c>
      <c r="I384" s="1" t="n">
        <v>260</v>
      </c>
    </row>
    <row r="385" customFormat="false" ht="15.75" hidden="false" customHeight="true" outlineLevel="0" collapsed="false">
      <c r="A385" s="1" t="s">
        <v>446</v>
      </c>
      <c r="B385" s="1" t="s">
        <v>12</v>
      </c>
      <c r="C385" s="1" t="s">
        <v>13</v>
      </c>
      <c r="D385" s="1" t="s">
        <v>14</v>
      </c>
      <c r="E385" s="1" t="n">
        <v>549</v>
      </c>
      <c r="F385" s="1" t="n">
        <v>551</v>
      </c>
      <c r="G385" s="1" t="n">
        <v>53</v>
      </c>
      <c r="H385" s="1" t="n">
        <v>95.6</v>
      </c>
      <c r="I385" s="1" t="n">
        <v>227</v>
      </c>
    </row>
    <row r="386" customFormat="false" ht="15.75" hidden="false" customHeight="true" outlineLevel="0" collapsed="false">
      <c r="A386" s="1" t="s">
        <v>447</v>
      </c>
      <c r="B386" s="1" t="s">
        <v>12</v>
      </c>
      <c r="C386" s="1" t="s">
        <v>13</v>
      </c>
      <c r="D386" s="1" t="s">
        <v>14</v>
      </c>
      <c r="E386" s="1" t="n">
        <v>549</v>
      </c>
      <c r="F386" s="1" t="n">
        <v>550</v>
      </c>
      <c r="G386" s="1" t="n">
        <v>53</v>
      </c>
      <c r="H386" s="1" t="n">
        <v>94.6</v>
      </c>
      <c r="I386" s="1" t="n">
        <v>227</v>
      </c>
    </row>
    <row r="387" customFormat="false" ht="15.75" hidden="false" customHeight="true" outlineLevel="0" collapsed="false">
      <c r="A387" s="1" t="s">
        <v>448</v>
      </c>
      <c r="B387" s="1" t="s">
        <v>12</v>
      </c>
      <c r="C387" s="1" t="s">
        <v>13</v>
      </c>
      <c r="D387" s="1" t="s">
        <v>18</v>
      </c>
      <c r="E387" s="1" t="n">
        <v>433</v>
      </c>
      <c r="F387" s="1" t="n">
        <v>440</v>
      </c>
      <c r="G387" s="1" t="n">
        <v>42</v>
      </c>
      <c r="H387" s="1" t="n">
        <v>93</v>
      </c>
      <c r="I387" s="1" t="n">
        <v>55</v>
      </c>
    </row>
    <row r="388" customFormat="false" ht="15.75" hidden="false" customHeight="true" outlineLevel="0" collapsed="false">
      <c r="A388" s="1" t="s">
        <v>449</v>
      </c>
      <c r="B388" s="1" t="s">
        <v>36</v>
      </c>
      <c r="C388" s="1" t="s">
        <v>37</v>
      </c>
      <c r="D388" s="1" t="s">
        <v>14</v>
      </c>
      <c r="E388" s="1" t="n">
        <v>35794</v>
      </c>
      <c r="F388" s="1" t="n">
        <v>35844</v>
      </c>
      <c r="G388" s="1" t="n">
        <v>0.12</v>
      </c>
      <c r="H388" s="1" t="n">
        <v>1437.7</v>
      </c>
      <c r="I388" s="1" t="n">
        <v>3357</v>
      </c>
    </row>
    <row r="389" customFormat="false" ht="15.75" hidden="false" customHeight="true" outlineLevel="0" collapsed="false">
      <c r="A389" s="1" t="s">
        <v>450</v>
      </c>
      <c r="B389" s="1" t="s">
        <v>12</v>
      </c>
      <c r="C389" s="1" t="s">
        <v>13</v>
      </c>
      <c r="D389" s="1" t="s">
        <v>18</v>
      </c>
      <c r="E389" s="1" t="n">
        <v>527</v>
      </c>
      <c r="F389" s="1" t="n">
        <v>535</v>
      </c>
      <c r="G389" s="1" t="n">
        <v>97.5</v>
      </c>
      <c r="H389" s="1" t="n">
        <v>95.2</v>
      </c>
      <c r="I389" s="1" t="n">
        <v>4</v>
      </c>
    </row>
    <row r="390" customFormat="false" ht="15.75" hidden="false" customHeight="true" outlineLevel="0" collapsed="false">
      <c r="A390" s="1" t="s">
        <v>451</v>
      </c>
      <c r="B390" s="1" t="s">
        <v>12</v>
      </c>
      <c r="C390" s="1" t="s">
        <v>13</v>
      </c>
      <c r="D390" s="1" t="s">
        <v>14</v>
      </c>
      <c r="E390" s="1" t="n">
        <v>562</v>
      </c>
      <c r="F390" s="1" t="n">
        <v>564</v>
      </c>
      <c r="G390" s="1" t="n">
        <v>53.2</v>
      </c>
      <c r="H390" s="1" t="n">
        <v>95.9</v>
      </c>
      <c r="I390" s="1" t="n">
        <v>260</v>
      </c>
    </row>
    <row r="391" customFormat="false" ht="15.75" hidden="false" customHeight="true" outlineLevel="0" collapsed="false">
      <c r="A391" s="1" t="s">
        <v>452</v>
      </c>
      <c r="B391" s="1" t="s">
        <v>12</v>
      </c>
      <c r="C391" s="1" t="s">
        <v>21</v>
      </c>
      <c r="D391" s="1" t="s">
        <v>18</v>
      </c>
      <c r="E391" s="1" t="n">
        <v>494</v>
      </c>
      <c r="F391" s="1" t="n">
        <v>521</v>
      </c>
      <c r="G391" s="1" t="n">
        <v>69.6</v>
      </c>
      <c r="H391" s="1" t="n">
        <v>96</v>
      </c>
      <c r="I391" s="1" t="n">
        <v>4</v>
      </c>
    </row>
    <row r="392" customFormat="false" ht="15.75" hidden="false" customHeight="true" outlineLevel="0" collapsed="false">
      <c r="A392" s="1" t="s">
        <v>453</v>
      </c>
      <c r="B392" s="1" t="s">
        <v>12</v>
      </c>
      <c r="C392" s="1" t="s">
        <v>13</v>
      </c>
      <c r="D392" s="1" t="s">
        <v>14</v>
      </c>
      <c r="E392" s="1" t="n">
        <v>548</v>
      </c>
      <c r="F392" s="1" t="n">
        <v>561</v>
      </c>
      <c r="G392" s="1" t="n">
        <v>53</v>
      </c>
      <c r="H392" s="1" t="n">
        <v>95.6</v>
      </c>
      <c r="I392" s="1" t="n">
        <v>260</v>
      </c>
    </row>
    <row r="393" customFormat="false" ht="15.75" hidden="false" customHeight="true" outlineLevel="0" collapsed="false">
      <c r="A393" s="1" t="s">
        <v>454</v>
      </c>
      <c r="B393" s="1" t="s">
        <v>12</v>
      </c>
      <c r="C393" s="1" t="s">
        <v>13</v>
      </c>
      <c r="D393" s="1" t="s">
        <v>14</v>
      </c>
      <c r="E393" s="1" t="n">
        <v>442</v>
      </c>
      <c r="F393" s="1" t="n">
        <v>445</v>
      </c>
      <c r="G393" s="1" t="n">
        <v>53.2</v>
      </c>
      <c r="H393" s="1" t="n">
        <v>93.5</v>
      </c>
      <c r="I393" s="1" t="n">
        <v>260</v>
      </c>
    </row>
    <row r="394" customFormat="false" ht="15.75" hidden="false" customHeight="true" outlineLevel="0" collapsed="false">
      <c r="A394" s="1" t="s">
        <v>455</v>
      </c>
      <c r="B394" s="1" t="s">
        <v>12</v>
      </c>
      <c r="C394" s="1" t="s">
        <v>13</v>
      </c>
      <c r="D394" s="1" t="s">
        <v>14</v>
      </c>
      <c r="E394" s="1" t="n">
        <v>548</v>
      </c>
      <c r="F394" s="1" t="n">
        <v>551</v>
      </c>
      <c r="G394" s="1" t="n">
        <v>53</v>
      </c>
      <c r="H394" s="1" t="n">
        <v>95.6</v>
      </c>
      <c r="I394" s="1" t="n">
        <v>260</v>
      </c>
    </row>
    <row r="395" customFormat="false" ht="15.75" hidden="false" customHeight="true" outlineLevel="0" collapsed="false">
      <c r="A395" s="1" t="s">
        <v>456</v>
      </c>
      <c r="B395" s="1" t="s">
        <v>12</v>
      </c>
      <c r="C395" s="1" t="s">
        <v>13</v>
      </c>
      <c r="D395" s="1" t="s">
        <v>14</v>
      </c>
      <c r="E395" s="1" t="n">
        <v>348</v>
      </c>
      <c r="F395" s="1" t="n">
        <v>351</v>
      </c>
      <c r="G395" s="1" t="n">
        <v>53.2</v>
      </c>
      <c r="H395" s="1" t="n">
        <v>91.5</v>
      </c>
      <c r="I395" s="1" t="n">
        <v>260</v>
      </c>
    </row>
    <row r="396" customFormat="false" ht="15.75" hidden="false" customHeight="true" outlineLevel="0" collapsed="false">
      <c r="A396" s="1" t="s">
        <v>457</v>
      </c>
      <c r="B396" s="1" t="s">
        <v>29</v>
      </c>
      <c r="C396" s="1" t="s">
        <v>13</v>
      </c>
      <c r="D396" s="1" t="s">
        <v>18</v>
      </c>
      <c r="E396" s="1" t="n">
        <v>513</v>
      </c>
      <c r="F396" s="1" t="n">
        <v>536</v>
      </c>
      <c r="G396" s="1" t="n">
        <v>97.5</v>
      </c>
      <c r="H396" s="1" t="n">
        <v>95.4</v>
      </c>
      <c r="I396" s="1" t="n">
        <v>10</v>
      </c>
    </row>
    <row r="397" customFormat="false" ht="15.75" hidden="false" customHeight="true" outlineLevel="0" collapsed="false">
      <c r="A397" s="1" t="s">
        <v>458</v>
      </c>
      <c r="B397" s="1" t="s">
        <v>12</v>
      </c>
      <c r="C397" s="1" t="s">
        <v>13</v>
      </c>
      <c r="D397" s="1" t="s">
        <v>18</v>
      </c>
      <c r="E397" s="1" t="n">
        <v>571</v>
      </c>
      <c r="F397" s="1" t="n">
        <v>588</v>
      </c>
      <c r="G397" s="1" t="n">
        <v>97.3</v>
      </c>
      <c r="H397" s="1" t="n">
        <v>96.2</v>
      </c>
      <c r="I397" s="1" t="n">
        <v>10</v>
      </c>
    </row>
    <row r="398" customFormat="false" ht="15.75" hidden="false" customHeight="true" outlineLevel="0" collapsed="false">
      <c r="A398" s="1" t="s">
        <v>459</v>
      </c>
      <c r="B398" s="1" t="s">
        <v>12</v>
      </c>
      <c r="C398" s="1" t="s">
        <v>13</v>
      </c>
      <c r="D398" s="1" t="s">
        <v>14</v>
      </c>
      <c r="E398" s="1" t="n">
        <v>564</v>
      </c>
      <c r="F398" s="1" t="n">
        <v>567</v>
      </c>
      <c r="G398" s="1" t="n">
        <v>43</v>
      </c>
      <c r="H398" s="1" t="n">
        <v>95.8</v>
      </c>
      <c r="I398" s="1" t="n">
        <v>290</v>
      </c>
    </row>
    <row r="399" customFormat="false" ht="15.75" hidden="false" customHeight="true" outlineLevel="0" collapsed="false">
      <c r="A399" s="1" t="s">
        <v>460</v>
      </c>
      <c r="B399" s="1" t="s">
        <v>12</v>
      </c>
      <c r="C399" s="1" t="s">
        <v>13</v>
      </c>
      <c r="D399" s="1" t="s">
        <v>14</v>
      </c>
      <c r="E399" s="1" t="n">
        <v>548</v>
      </c>
      <c r="F399" s="1" t="n">
        <v>561</v>
      </c>
      <c r="G399" s="1" t="n">
        <v>53</v>
      </c>
      <c r="H399" s="1" t="n">
        <v>95.6</v>
      </c>
      <c r="I399" s="1" t="n">
        <v>260</v>
      </c>
    </row>
    <row r="400" customFormat="false" ht="15.75" hidden="false" customHeight="true" outlineLevel="0" collapsed="false">
      <c r="A400" s="1" t="s">
        <v>461</v>
      </c>
      <c r="B400" s="1" t="s">
        <v>137</v>
      </c>
      <c r="C400" s="1" t="s">
        <v>13</v>
      </c>
      <c r="D400" s="1" t="s">
        <v>14</v>
      </c>
      <c r="E400" s="1" t="n">
        <v>35785</v>
      </c>
      <c r="F400" s="1" t="n">
        <v>35787</v>
      </c>
      <c r="G400" s="1" t="n">
        <v>0</v>
      </c>
      <c r="H400" s="1" t="n">
        <v>1436</v>
      </c>
      <c r="I400" s="1" t="n">
        <v>6000</v>
      </c>
    </row>
    <row r="401" customFormat="false" ht="15.75" hidden="false" customHeight="true" outlineLevel="0" collapsed="false">
      <c r="A401" s="1" t="s">
        <v>462</v>
      </c>
      <c r="B401" s="1" t="s">
        <v>12</v>
      </c>
      <c r="C401" s="1" t="s">
        <v>13</v>
      </c>
      <c r="D401" s="1" t="s">
        <v>14</v>
      </c>
      <c r="E401" s="1" t="n">
        <v>348</v>
      </c>
      <c r="F401" s="1" t="n">
        <v>351</v>
      </c>
      <c r="G401" s="1" t="n">
        <v>53.2</v>
      </c>
      <c r="H401" s="1" t="n">
        <v>91.5</v>
      </c>
      <c r="I401" s="1" t="n">
        <v>260</v>
      </c>
    </row>
    <row r="402" customFormat="false" ht="15.75" hidden="false" customHeight="true" outlineLevel="0" collapsed="false">
      <c r="A402" s="1" t="s">
        <v>463</v>
      </c>
      <c r="B402" s="1" t="s">
        <v>464</v>
      </c>
      <c r="C402" s="1" t="s">
        <v>64</v>
      </c>
      <c r="D402" s="1" t="s">
        <v>18</v>
      </c>
      <c r="E402" s="1" t="n">
        <v>772</v>
      </c>
      <c r="F402" s="1" t="n">
        <v>828</v>
      </c>
      <c r="G402" s="1" t="n">
        <v>72</v>
      </c>
      <c r="H402" s="1" t="n">
        <v>100.9</v>
      </c>
      <c r="I402" s="1" t="n">
        <v>70</v>
      </c>
    </row>
    <row r="403" customFormat="false" ht="15.75" hidden="false" customHeight="true" outlineLevel="0" collapsed="false">
      <c r="A403" s="1" t="s">
        <v>465</v>
      </c>
      <c r="B403" s="1" t="s">
        <v>12</v>
      </c>
      <c r="C403" s="1" t="s">
        <v>13</v>
      </c>
      <c r="D403" s="1" t="s">
        <v>14</v>
      </c>
      <c r="E403" s="1" t="n">
        <v>564</v>
      </c>
      <c r="F403" s="1" t="n">
        <v>582</v>
      </c>
      <c r="G403" s="1" t="n">
        <v>53</v>
      </c>
      <c r="H403" s="1" t="n">
        <v>95.6</v>
      </c>
      <c r="I403" s="1" t="n">
        <v>260</v>
      </c>
    </row>
    <row r="404" customFormat="false" ht="15.75" hidden="false" customHeight="true" outlineLevel="0" collapsed="false">
      <c r="A404" s="1" t="s">
        <v>466</v>
      </c>
      <c r="B404" s="1" t="s">
        <v>12</v>
      </c>
      <c r="C404" s="1" t="s">
        <v>13</v>
      </c>
      <c r="D404" s="1" t="s">
        <v>14</v>
      </c>
      <c r="E404" s="1" t="n">
        <v>348</v>
      </c>
      <c r="F404" s="1" t="n">
        <v>351</v>
      </c>
      <c r="G404" s="1" t="n">
        <v>53.2</v>
      </c>
      <c r="H404" s="1" t="n">
        <v>91.5</v>
      </c>
      <c r="I404" s="1" t="n">
        <v>260</v>
      </c>
    </row>
    <row r="405" customFormat="false" ht="15.75" hidden="false" customHeight="true" outlineLevel="0" collapsed="false">
      <c r="A405" s="1" t="s">
        <v>467</v>
      </c>
      <c r="B405" s="1" t="s">
        <v>20</v>
      </c>
      <c r="C405" s="1" t="s">
        <v>97</v>
      </c>
      <c r="D405" s="1" t="s">
        <v>98</v>
      </c>
      <c r="E405" s="1" t="n">
        <v>514</v>
      </c>
      <c r="F405" s="1" t="n">
        <v>547</v>
      </c>
      <c r="G405" s="1" t="n">
        <v>97.5</v>
      </c>
      <c r="H405" s="1" t="n">
        <v>95.2</v>
      </c>
      <c r="I405" s="1" t="n">
        <v>4</v>
      </c>
    </row>
    <row r="406" customFormat="false" ht="15.75" hidden="false" customHeight="true" outlineLevel="0" collapsed="false">
      <c r="A406" s="1" t="s">
        <v>468</v>
      </c>
      <c r="B406" s="1" t="s">
        <v>12</v>
      </c>
      <c r="C406" s="1" t="s">
        <v>13</v>
      </c>
      <c r="D406" s="1" t="s">
        <v>14</v>
      </c>
      <c r="E406" s="1" t="n">
        <v>539</v>
      </c>
      <c r="F406" s="1" t="n">
        <v>541</v>
      </c>
      <c r="G406" s="1" t="n">
        <v>53</v>
      </c>
      <c r="H406" s="1" t="n">
        <v>95.4</v>
      </c>
      <c r="I406" s="1" t="n">
        <v>260</v>
      </c>
    </row>
    <row r="407" customFormat="false" ht="15.75" hidden="false" customHeight="true" outlineLevel="0" collapsed="false">
      <c r="A407" s="1" t="s">
        <v>469</v>
      </c>
      <c r="B407" s="1" t="s">
        <v>12</v>
      </c>
      <c r="C407" s="1" t="s">
        <v>13</v>
      </c>
      <c r="D407" s="1" t="s">
        <v>14</v>
      </c>
      <c r="E407" s="1" t="n">
        <v>577</v>
      </c>
      <c r="F407" s="1" t="n">
        <v>581</v>
      </c>
      <c r="G407" s="1" t="n">
        <v>70</v>
      </c>
      <c r="H407" s="1" t="n">
        <v>96.1</v>
      </c>
      <c r="I407" s="1" t="n">
        <v>290</v>
      </c>
    </row>
    <row r="408" customFormat="false" ht="15.75" hidden="false" customHeight="true" outlineLevel="0" collapsed="false">
      <c r="A408" s="1" t="s">
        <v>470</v>
      </c>
      <c r="B408" s="1" t="s">
        <v>12</v>
      </c>
      <c r="C408" s="1" t="s">
        <v>13</v>
      </c>
      <c r="D408" s="1" t="s">
        <v>14</v>
      </c>
      <c r="E408" s="1" t="n">
        <v>548</v>
      </c>
      <c r="F408" s="1" t="n">
        <v>561</v>
      </c>
      <c r="G408" s="1" t="n">
        <v>53</v>
      </c>
      <c r="H408" s="1" t="n">
        <v>95.6</v>
      </c>
      <c r="I408" s="1" t="n">
        <v>260</v>
      </c>
    </row>
    <row r="409" customFormat="false" ht="15.75" hidden="false" customHeight="true" outlineLevel="0" collapsed="false">
      <c r="A409" s="1" t="s">
        <v>471</v>
      </c>
      <c r="B409" s="1" t="s">
        <v>12</v>
      </c>
      <c r="C409" s="1" t="s">
        <v>13</v>
      </c>
      <c r="D409" s="1" t="s">
        <v>14</v>
      </c>
      <c r="E409" s="1" t="n">
        <v>548</v>
      </c>
      <c r="F409" s="1" t="n">
        <v>561</v>
      </c>
      <c r="G409" s="1" t="n">
        <v>53</v>
      </c>
      <c r="H409" s="1" t="n">
        <v>95.6</v>
      </c>
      <c r="I409" s="1" t="n">
        <v>260</v>
      </c>
    </row>
    <row r="410" customFormat="false" ht="15.75" hidden="false" customHeight="true" outlineLevel="0" collapsed="false">
      <c r="A410" s="1" t="s">
        <v>472</v>
      </c>
      <c r="B410" s="1" t="s">
        <v>52</v>
      </c>
      <c r="C410" s="1" t="s">
        <v>21</v>
      </c>
      <c r="D410" s="1" t="s">
        <v>18</v>
      </c>
      <c r="E410" s="1" t="n">
        <v>689</v>
      </c>
      <c r="F410" s="1" t="n">
        <v>703</v>
      </c>
      <c r="G410" s="1" t="n">
        <v>98</v>
      </c>
      <c r="H410" s="1" t="n">
        <v>98.7</v>
      </c>
    </row>
    <row r="411" customFormat="false" ht="15.75" hidden="false" customHeight="true" outlineLevel="0" collapsed="false">
      <c r="A411" s="1" t="s">
        <v>473</v>
      </c>
      <c r="B411" s="1" t="s">
        <v>12</v>
      </c>
      <c r="C411" s="1" t="s">
        <v>13</v>
      </c>
      <c r="D411" s="1" t="s">
        <v>14</v>
      </c>
      <c r="E411" s="1" t="n">
        <v>548</v>
      </c>
      <c r="F411" s="1" t="n">
        <v>561</v>
      </c>
      <c r="G411" s="1" t="n">
        <v>53</v>
      </c>
      <c r="H411" s="1" t="n">
        <v>95.6</v>
      </c>
      <c r="I411" s="1" t="n">
        <v>260</v>
      </c>
    </row>
    <row r="412" customFormat="false" ht="15.75" hidden="false" customHeight="true" outlineLevel="0" collapsed="false">
      <c r="A412" s="1" t="s">
        <v>474</v>
      </c>
      <c r="B412" s="1" t="s">
        <v>71</v>
      </c>
      <c r="C412" s="1" t="s">
        <v>37</v>
      </c>
      <c r="D412" s="1" t="s">
        <v>18</v>
      </c>
      <c r="E412" s="1" t="n">
        <v>35774</v>
      </c>
      <c r="F412" s="1" t="n">
        <v>35797</v>
      </c>
      <c r="G412" s="1" t="n">
        <v>0.08</v>
      </c>
      <c r="H412" s="1" t="n">
        <v>1436.06</v>
      </c>
      <c r="I412" s="1" t="n">
        <v>3500</v>
      </c>
    </row>
    <row r="413" customFormat="false" ht="15.75" hidden="false" customHeight="true" outlineLevel="0" collapsed="false">
      <c r="A413" s="1" t="s">
        <v>475</v>
      </c>
      <c r="B413" s="1" t="s">
        <v>52</v>
      </c>
      <c r="C413" s="1" t="s">
        <v>37</v>
      </c>
      <c r="D413" s="1" t="s">
        <v>98</v>
      </c>
      <c r="E413" s="1" t="n">
        <v>587</v>
      </c>
      <c r="F413" s="1" t="n">
        <v>598</v>
      </c>
      <c r="G413" s="1" t="n">
        <v>97.8</v>
      </c>
      <c r="H413" s="1" t="n">
        <v>96.5</v>
      </c>
    </row>
    <row r="414" customFormat="false" ht="15.75" hidden="false" customHeight="true" outlineLevel="0" collapsed="false">
      <c r="A414" s="1" t="s">
        <v>476</v>
      </c>
      <c r="B414" s="1" t="s">
        <v>52</v>
      </c>
      <c r="C414" s="1" t="s">
        <v>37</v>
      </c>
      <c r="D414" s="1" t="s">
        <v>18</v>
      </c>
      <c r="E414" s="1" t="n">
        <v>527</v>
      </c>
      <c r="F414" s="1" t="n">
        <v>551</v>
      </c>
      <c r="G414" s="1" t="n">
        <v>97.5</v>
      </c>
      <c r="H414" s="1" t="n">
        <v>96</v>
      </c>
      <c r="I414" s="1" t="n">
        <v>55</v>
      </c>
    </row>
    <row r="415" customFormat="false" ht="15.75" hidden="false" customHeight="true" outlineLevel="0" collapsed="false">
      <c r="A415" s="1" t="s">
        <v>477</v>
      </c>
      <c r="B415" s="1" t="s">
        <v>63</v>
      </c>
      <c r="C415" s="1" t="s">
        <v>13</v>
      </c>
      <c r="D415" s="1" t="s">
        <v>14</v>
      </c>
      <c r="E415" s="1" t="n">
        <v>35784</v>
      </c>
      <c r="F415" s="1" t="n">
        <v>35794</v>
      </c>
      <c r="G415" s="1" t="n">
        <v>0.03</v>
      </c>
      <c r="H415" s="1" t="n">
        <v>1436.21</v>
      </c>
      <c r="I415" s="1" t="n">
        <v>5404</v>
      </c>
    </row>
    <row r="416" customFormat="false" ht="15.75" hidden="false" customHeight="true" outlineLevel="0" collapsed="false">
      <c r="A416" s="1" t="s">
        <v>478</v>
      </c>
      <c r="B416" s="1" t="s">
        <v>12</v>
      </c>
      <c r="C416" s="1" t="s">
        <v>13</v>
      </c>
      <c r="D416" s="1" t="s">
        <v>14</v>
      </c>
      <c r="E416" s="1" t="n">
        <v>548</v>
      </c>
      <c r="F416" s="1" t="n">
        <v>561</v>
      </c>
      <c r="G416" s="1" t="n">
        <v>53</v>
      </c>
      <c r="H416" s="1" t="n">
        <v>95.6</v>
      </c>
      <c r="I416" s="1" t="n">
        <v>260</v>
      </c>
    </row>
    <row r="417" customFormat="false" ht="15.75" hidden="false" customHeight="true" outlineLevel="0" collapsed="false">
      <c r="A417" s="1" t="s">
        <v>479</v>
      </c>
      <c r="B417" s="1" t="s">
        <v>23</v>
      </c>
      <c r="C417" s="1" t="s">
        <v>13</v>
      </c>
      <c r="D417" s="1" t="s">
        <v>14</v>
      </c>
      <c r="E417" s="1" t="n">
        <v>1215</v>
      </c>
      <c r="F417" s="1" t="n">
        <v>1220</v>
      </c>
      <c r="G417" s="1" t="n">
        <v>87.4</v>
      </c>
      <c r="H417" s="1" t="n">
        <v>93.7</v>
      </c>
      <c r="I417" s="1" t="n">
        <v>148</v>
      </c>
    </row>
    <row r="418" customFormat="false" ht="15.75" hidden="false" customHeight="true" outlineLevel="0" collapsed="false">
      <c r="A418" s="1" t="s">
        <v>480</v>
      </c>
      <c r="B418" s="1" t="s">
        <v>12</v>
      </c>
      <c r="C418" s="1" t="s">
        <v>13</v>
      </c>
      <c r="D418" s="1" t="s">
        <v>14</v>
      </c>
      <c r="E418" s="1" t="n">
        <v>570</v>
      </c>
      <c r="F418" s="1" t="n">
        <v>575</v>
      </c>
      <c r="G418" s="1" t="n">
        <v>70</v>
      </c>
      <c r="H418" s="1" t="n">
        <v>96.1</v>
      </c>
      <c r="I418" s="1" t="n">
        <v>260</v>
      </c>
    </row>
    <row r="419" customFormat="false" ht="15.75" hidden="false" customHeight="true" outlineLevel="0" collapsed="false">
      <c r="A419" s="1" t="s">
        <v>481</v>
      </c>
      <c r="B419" s="1" t="s">
        <v>52</v>
      </c>
      <c r="C419" s="1" t="s">
        <v>13</v>
      </c>
      <c r="D419" s="1" t="s">
        <v>18</v>
      </c>
      <c r="E419" s="1" t="n">
        <v>529</v>
      </c>
      <c r="F419" s="1" t="n">
        <v>560</v>
      </c>
      <c r="G419" s="1" t="n">
        <v>97.6</v>
      </c>
      <c r="H419" s="1" t="n">
        <v>95.5</v>
      </c>
      <c r="I419" s="1" t="n">
        <v>10</v>
      </c>
    </row>
    <row r="420" customFormat="false" ht="15.75" hidden="false" customHeight="true" outlineLevel="0" collapsed="false">
      <c r="A420" s="1" t="s">
        <v>482</v>
      </c>
      <c r="B420" s="1" t="s">
        <v>12</v>
      </c>
      <c r="C420" s="1" t="s">
        <v>13</v>
      </c>
      <c r="D420" s="1" t="s">
        <v>14</v>
      </c>
      <c r="E420" s="1" t="n">
        <v>348</v>
      </c>
      <c r="F420" s="1" t="n">
        <v>351</v>
      </c>
      <c r="G420" s="1" t="n">
        <v>53.2</v>
      </c>
      <c r="H420" s="1" t="n">
        <v>91.5</v>
      </c>
      <c r="I420" s="1" t="n">
        <v>260</v>
      </c>
    </row>
    <row r="421" customFormat="false" ht="15.75" hidden="false" customHeight="true" outlineLevel="0" collapsed="false">
      <c r="A421" s="1" t="s">
        <v>483</v>
      </c>
      <c r="B421" s="1" t="s">
        <v>12</v>
      </c>
      <c r="C421" s="1" t="s">
        <v>13</v>
      </c>
      <c r="D421" s="1" t="s">
        <v>14</v>
      </c>
      <c r="E421" s="1" t="n">
        <v>548</v>
      </c>
      <c r="F421" s="1" t="n">
        <v>561</v>
      </c>
      <c r="G421" s="1" t="n">
        <v>53</v>
      </c>
      <c r="H421" s="1" t="n">
        <v>95.6</v>
      </c>
      <c r="I421" s="1" t="n">
        <v>260</v>
      </c>
    </row>
    <row r="422" customFormat="false" ht="15.75" hidden="false" customHeight="true" outlineLevel="0" collapsed="false">
      <c r="A422" s="1" t="s">
        <v>484</v>
      </c>
      <c r="B422" s="1" t="s">
        <v>12</v>
      </c>
      <c r="C422" s="1" t="s">
        <v>13</v>
      </c>
      <c r="D422" s="1" t="s">
        <v>14</v>
      </c>
      <c r="E422" s="1" t="n">
        <v>548</v>
      </c>
      <c r="F422" s="1" t="n">
        <v>551</v>
      </c>
      <c r="G422" s="1" t="n">
        <v>53</v>
      </c>
      <c r="H422" s="1" t="n">
        <v>95.6</v>
      </c>
      <c r="I422" s="1" t="n">
        <v>260</v>
      </c>
    </row>
    <row r="423" customFormat="false" ht="15.75" hidden="false" customHeight="true" outlineLevel="0" collapsed="false">
      <c r="A423" s="1" t="s">
        <v>485</v>
      </c>
      <c r="B423" s="1" t="s">
        <v>12</v>
      </c>
      <c r="C423" s="1" t="s">
        <v>13</v>
      </c>
      <c r="D423" s="1" t="s">
        <v>14</v>
      </c>
      <c r="E423" s="1" t="n">
        <v>549</v>
      </c>
      <c r="F423" s="1" t="n">
        <v>551</v>
      </c>
      <c r="G423" s="1" t="n">
        <v>53</v>
      </c>
      <c r="H423" s="1" t="n">
        <v>90.4</v>
      </c>
      <c r="I423" s="1" t="n">
        <v>227</v>
      </c>
    </row>
    <row r="424" customFormat="false" ht="15.75" hidden="false" customHeight="true" outlineLevel="0" collapsed="false">
      <c r="A424" s="1" t="s">
        <v>486</v>
      </c>
      <c r="B424" s="1" t="s">
        <v>487</v>
      </c>
      <c r="C424" s="1" t="s">
        <v>97</v>
      </c>
      <c r="D424" s="1" t="s">
        <v>14</v>
      </c>
      <c r="E424" s="1" t="n">
        <v>573</v>
      </c>
      <c r="F424" s="1" t="n">
        <v>590</v>
      </c>
      <c r="G424" s="1" t="n">
        <v>97.7</v>
      </c>
      <c r="H424" s="1" t="n">
        <v>93.6</v>
      </c>
      <c r="I424" s="1" t="n">
        <v>2</v>
      </c>
    </row>
    <row r="425" customFormat="false" ht="15.75" hidden="false" customHeight="true" outlineLevel="0" collapsed="false">
      <c r="A425" s="1" t="s">
        <v>488</v>
      </c>
      <c r="B425" s="1" t="s">
        <v>12</v>
      </c>
      <c r="C425" s="1" t="s">
        <v>13</v>
      </c>
      <c r="D425" s="1" t="s">
        <v>281</v>
      </c>
      <c r="E425" s="1" t="n">
        <v>549</v>
      </c>
      <c r="F425" s="1" t="n">
        <v>551</v>
      </c>
      <c r="G425" s="1" t="n">
        <v>40.5</v>
      </c>
      <c r="H425" s="1" t="n">
        <v>94.7</v>
      </c>
      <c r="I425" s="1" t="n">
        <v>31</v>
      </c>
    </row>
    <row r="426" customFormat="false" ht="15.75" hidden="false" customHeight="true" outlineLevel="0" collapsed="false">
      <c r="A426" s="1" t="s">
        <v>489</v>
      </c>
      <c r="B426" s="1" t="s">
        <v>52</v>
      </c>
      <c r="C426" s="1" t="s">
        <v>37</v>
      </c>
      <c r="D426" s="1" t="s">
        <v>58</v>
      </c>
      <c r="E426" s="1" t="n">
        <v>476</v>
      </c>
      <c r="F426" s="1" t="n">
        <v>483</v>
      </c>
      <c r="G426" s="1" t="n">
        <v>35.01</v>
      </c>
      <c r="H426" s="1" t="n">
        <v>94.19</v>
      </c>
    </row>
    <row r="427" customFormat="false" ht="15.75" hidden="false" customHeight="true" outlineLevel="0" collapsed="false">
      <c r="A427" s="1" t="s">
        <v>490</v>
      </c>
      <c r="B427" s="1" t="s">
        <v>17</v>
      </c>
      <c r="C427" s="1" t="s">
        <v>21</v>
      </c>
      <c r="D427" s="1" t="s">
        <v>58</v>
      </c>
      <c r="E427" s="1" t="n">
        <v>240</v>
      </c>
      <c r="F427" s="1" t="n">
        <v>31342</v>
      </c>
      <c r="G427" s="1" t="n">
        <v>2</v>
      </c>
      <c r="H427" s="1" t="n">
        <v>547</v>
      </c>
      <c r="I427" s="1" t="n">
        <v>117</v>
      </c>
    </row>
    <row r="428" customFormat="false" ht="15.75" hidden="false" customHeight="true" outlineLevel="0" collapsed="false">
      <c r="A428" s="1" t="s">
        <v>491</v>
      </c>
      <c r="B428" s="1" t="s">
        <v>12</v>
      </c>
      <c r="C428" s="1" t="s">
        <v>13</v>
      </c>
      <c r="D428" s="1" t="s">
        <v>18</v>
      </c>
      <c r="E428" s="1" t="n">
        <v>496</v>
      </c>
      <c r="F428" s="1" t="n">
        <v>510</v>
      </c>
      <c r="G428" s="1" t="n">
        <v>97.45</v>
      </c>
      <c r="H428" s="1" t="n">
        <v>94.6</v>
      </c>
      <c r="I428" s="1" t="n">
        <v>10</v>
      </c>
    </row>
    <row r="429" customFormat="false" ht="15.75" hidden="false" customHeight="true" outlineLevel="0" collapsed="false">
      <c r="A429" s="1" t="s">
        <v>492</v>
      </c>
      <c r="B429" s="1" t="s">
        <v>12</v>
      </c>
      <c r="C429" s="1" t="s">
        <v>13</v>
      </c>
      <c r="D429" s="1" t="s">
        <v>14</v>
      </c>
      <c r="E429" s="1" t="n">
        <v>548</v>
      </c>
      <c r="F429" s="1" t="n">
        <v>561</v>
      </c>
      <c r="G429" s="1" t="n">
        <v>53</v>
      </c>
      <c r="H429" s="1" t="n">
        <v>95.6</v>
      </c>
      <c r="I429" s="1" t="n">
        <v>260</v>
      </c>
    </row>
    <row r="430" customFormat="false" ht="15.75" hidden="false" customHeight="true" outlineLevel="0" collapsed="false">
      <c r="A430" s="1" t="s">
        <v>493</v>
      </c>
      <c r="B430" s="1" t="s">
        <v>12</v>
      </c>
      <c r="C430" s="1" t="s">
        <v>13</v>
      </c>
      <c r="D430" s="1" t="s">
        <v>14</v>
      </c>
      <c r="E430" s="1" t="n">
        <v>360</v>
      </c>
      <c r="F430" s="1" t="n">
        <v>363</v>
      </c>
      <c r="G430" s="1" t="n">
        <v>43</v>
      </c>
      <c r="H430" s="1" t="n">
        <v>91.6</v>
      </c>
      <c r="I430" s="1" t="n">
        <v>800</v>
      </c>
    </row>
    <row r="431" customFormat="false" ht="15.75" hidden="false" customHeight="true" outlineLevel="0" collapsed="false">
      <c r="A431" s="1" t="s">
        <v>494</v>
      </c>
      <c r="B431" s="1" t="s">
        <v>495</v>
      </c>
      <c r="C431" s="1" t="s">
        <v>37</v>
      </c>
      <c r="D431" s="1" t="s">
        <v>496</v>
      </c>
      <c r="E431" s="1" t="n">
        <v>586</v>
      </c>
      <c r="F431" s="1" t="n">
        <v>605</v>
      </c>
      <c r="G431" s="1" t="n">
        <v>97.6</v>
      </c>
      <c r="H431" s="1" t="n">
        <v>96.5</v>
      </c>
      <c r="I431" s="1" t="n">
        <v>30</v>
      </c>
    </row>
    <row r="432" customFormat="false" ht="15.75" hidden="false" customHeight="true" outlineLevel="0" collapsed="false">
      <c r="A432" s="1" t="s">
        <v>497</v>
      </c>
      <c r="B432" s="1" t="s">
        <v>12</v>
      </c>
      <c r="C432" s="1" t="s">
        <v>13</v>
      </c>
      <c r="D432" s="1" t="s">
        <v>14</v>
      </c>
      <c r="E432" s="1" t="n">
        <v>539</v>
      </c>
      <c r="F432" s="1" t="n">
        <v>541</v>
      </c>
      <c r="G432" s="1" t="n">
        <v>53</v>
      </c>
      <c r="H432" s="1" t="n">
        <v>95.4</v>
      </c>
      <c r="I432" s="1" t="n">
        <v>260</v>
      </c>
    </row>
    <row r="433" customFormat="false" ht="15.75" hidden="false" customHeight="true" outlineLevel="0" collapsed="false">
      <c r="A433" s="1" t="s">
        <v>498</v>
      </c>
      <c r="B433" s="1" t="s">
        <v>12</v>
      </c>
      <c r="C433" s="1" t="s">
        <v>13</v>
      </c>
      <c r="D433" s="1" t="s">
        <v>14</v>
      </c>
      <c r="E433" s="1" t="n">
        <v>580</v>
      </c>
      <c r="F433" s="1" t="n">
        <v>583</v>
      </c>
      <c r="G433" s="1" t="n">
        <v>70</v>
      </c>
      <c r="H433" s="1" t="n">
        <v>96.2</v>
      </c>
      <c r="I433" s="1" t="n">
        <v>290</v>
      </c>
    </row>
    <row r="434" customFormat="false" ht="15.75" hidden="false" customHeight="true" outlineLevel="0" collapsed="false">
      <c r="A434" s="1" t="s">
        <v>499</v>
      </c>
      <c r="B434" s="1" t="s">
        <v>12</v>
      </c>
      <c r="C434" s="1" t="s">
        <v>21</v>
      </c>
      <c r="D434" s="1" t="s">
        <v>18</v>
      </c>
      <c r="E434" s="1" t="n">
        <v>35613</v>
      </c>
      <c r="F434" s="1" t="n">
        <v>35903</v>
      </c>
      <c r="G434" s="1" t="n">
        <v>7.51</v>
      </c>
      <c r="H434" s="1" t="n">
        <v>1437.19</v>
      </c>
      <c r="I434" s="1" t="n">
        <v>5000</v>
      </c>
    </row>
    <row r="435" customFormat="false" ht="15.75" hidden="false" customHeight="true" outlineLevel="0" collapsed="false">
      <c r="A435" s="1" t="s">
        <v>500</v>
      </c>
      <c r="B435" s="1" t="s">
        <v>12</v>
      </c>
      <c r="C435" s="1" t="s">
        <v>13</v>
      </c>
      <c r="D435" s="1" t="s">
        <v>14</v>
      </c>
      <c r="E435" s="1" t="n">
        <v>549</v>
      </c>
      <c r="F435" s="1" t="n">
        <v>551</v>
      </c>
      <c r="G435" s="1" t="n">
        <v>53</v>
      </c>
      <c r="H435" s="1" t="n">
        <v>94.6</v>
      </c>
      <c r="I435" s="1" t="n">
        <v>227</v>
      </c>
    </row>
    <row r="436" customFormat="false" ht="15.75" hidden="false" customHeight="true" outlineLevel="0" collapsed="false">
      <c r="A436" s="1" t="s">
        <v>501</v>
      </c>
      <c r="B436" s="1" t="s">
        <v>23</v>
      </c>
      <c r="C436" s="1" t="s">
        <v>13</v>
      </c>
      <c r="D436" s="1" t="s">
        <v>14</v>
      </c>
      <c r="E436" s="1" t="n">
        <v>600</v>
      </c>
      <c r="F436" s="1" t="n">
        <v>610</v>
      </c>
      <c r="G436" s="1" t="n">
        <v>87.4</v>
      </c>
      <c r="H436" s="1" t="n">
        <v>96.75</v>
      </c>
      <c r="I436" s="1" t="n">
        <v>148</v>
      </c>
    </row>
    <row r="437" customFormat="false" ht="15.75" hidden="false" customHeight="true" outlineLevel="0" collapsed="false">
      <c r="A437" s="1" t="s">
        <v>502</v>
      </c>
      <c r="B437" s="1" t="s">
        <v>12</v>
      </c>
      <c r="C437" s="1" t="s">
        <v>13</v>
      </c>
      <c r="D437" s="1" t="s">
        <v>14</v>
      </c>
      <c r="E437" s="1" t="n">
        <v>35774</v>
      </c>
      <c r="F437" s="1" t="n">
        <v>35811</v>
      </c>
      <c r="G437" s="1" t="n">
        <v>0.06</v>
      </c>
      <c r="H437" s="1" t="n">
        <v>1436.39</v>
      </c>
      <c r="I437" s="1" t="n">
        <v>5984</v>
      </c>
    </row>
    <row r="438" customFormat="false" ht="15.75" hidden="false" customHeight="true" outlineLevel="0" collapsed="false">
      <c r="A438" s="1" t="s">
        <v>503</v>
      </c>
      <c r="B438" s="1" t="s">
        <v>12</v>
      </c>
      <c r="C438" s="1" t="s">
        <v>21</v>
      </c>
      <c r="D438" s="1" t="s">
        <v>58</v>
      </c>
      <c r="E438" s="1" t="n">
        <v>658</v>
      </c>
      <c r="F438" s="1" t="n">
        <v>11836</v>
      </c>
      <c r="G438" s="1" t="n">
        <v>63.64</v>
      </c>
      <c r="H438" s="1" t="n">
        <v>235.16</v>
      </c>
      <c r="I438" s="1" t="n">
        <v>450</v>
      </c>
    </row>
    <row r="439" customFormat="false" ht="15.75" hidden="false" customHeight="true" outlineLevel="0" collapsed="false">
      <c r="A439" s="1" t="s">
        <v>504</v>
      </c>
      <c r="B439" s="1" t="s">
        <v>12</v>
      </c>
      <c r="C439" s="1" t="s">
        <v>13</v>
      </c>
      <c r="D439" s="1" t="s">
        <v>14</v>
      </c>
      <c r="E439" s="1" t="n">
        <v>538</v>
      </c>
      <c r="F439" s="1" t="n">
        <v>541</v>
      </c>
      <c r="G439" s="1" t="n">
        <v>53.2</v>
      </c>
      <c r="H439" s="1" t="n">
        <v>95.4</v>
      </c>
      <c r="I439" s="1" t="n">
        <v>260</v>
      </c>
    </row>
    <row r="440" customFormat="false" ht="15.75" hidden="false" customHeight="true" outlineLevel="0" collapsed="false">
      <c r="A440" s="1" t="s">
        <v>505</v>
      </c>
      <c r="B440" s="1" t="s">
        <v>12</v>
      </c>
      <c r="C440" s="1" t="s">
        <v>13</v>
      </c>
      <c r="D440" s="1" t="s">
        <v>14</v>
      </c>
      <c r="E440" s="1" t="n">
        <v>258</v>
      </c>
      <c r="F440" s="1" t="n">
        <v>280</v>
      </c>
      <c r="G440" s="1" t="n">
        <v>53</v>
      </c>
      <c r="H440" s="1" t="n">
        <v>95.6</v>
      </c>
      <c r="I440" s="1" t="n">
        <v>260</v>
      </c>
    </row>
    <row r="441" customFormat="false" ht="15.75" hidden="false" customHeight="true" outlineLevel="0" collapsed="false">
      <c r="A441" s="1" t="s">
        <v>506</v>
      </c>
      <c r="B441" s="1" t="s">
        <v>12</v>
      </c>
      <c r="C441" s="1" t="s">
        <v>13</v>
      </c>
      <c r="D441" s="1" t="s">
        <v>14</v>
      </c>
      <c r="E441" s="1" t="n">
        <v>348</v>
      </c>
      <c r="F441" s="1" t="n">
        <v>351</v>
      </c>
      <c r="G441" s="1" t="n">
        <v>53.2</v>
      </c>
      <c r="H441" s="1" t="n">
        <v>91.5</v>
      </c>
      <c r="I441" s="1" t="n">
        <v>260</v>
      </c>
    </row>
    <row r="442" customFormat="false" ht="15.75" hidden="false" customHeight="true" outlineLevel="0" collapsed="false">
      <c r="A442" s="1" t="s">
        <v>507</v>
      </c>
      <c r="B442" s="1" t="s">
        <v>12</v>
      </c>
      <c r="C442" s="1" t="s">
        <v>13</v>
      </c>
      <c r="D442" s="1" t="s">
        <v>18</v>
      </c>
      <c r="E442" s="1" t="n">
        <v>538</v>
      </c>
      <c r="F442" s="1" t="n">
        <v>549</v>
      </c>
      <c r="G442" s="1" t="n">
        <v>45.01</v>
      </c>
      <c r="H442" s="1" t="n">
        <v>95.5</v>
      </c>
      <c r="I442" s="1" t="n">
        <v>56</v>
      </c>
    </row>
    <row r="443" customFormat="false" ht="15.75" hidden="false" customHeight="true" outlineLevel="0" collapsed="false">
      <c r="A443" s="1" t="s">
        <v>508</v>
      </c>
      <c r="B443" s="1" t="s">
        <v>12</v>
      </c>
      <c r="C443" s="1" t="s">
        <v>13</v>
      </c>
      <c r="D443" s="1" t="s">
        <v>18</v>
      </c>
      <c r="E443" s="1" t="n">
        <v>507</v>
      </c>
      <c r="F443" s="1" t="n">
        <v>524</v>
      </c>
      <c r="G443" s="1" t="n">
        <v>97.5</v>
      </c>
      <c r="H443" s="1" t="n">
        <v>94.2</v>
      </c>
      <c r="I443" s="1" t="n">
        <v>4</v>
      </c>
    </row>
    <row r="444" customFormat="false" ht="15.75" hidden="false" customHeight="true" outlineLevel="0" collapsed="false">
      <c r="A444" s="1" t="s">
        <v>509</v>
      </c>
      <c r="B444" s="1" t="s">
        <v>12</v>
      </c>
      <c r="C444" s="1" t="s">
        <v>13</v>
      </c>
      <c r="D444" s="1" t="s">
        <v>18</v>
      </c>
      <c r="E444" s="1" t="n">
        <v>515</v>
      </c>
      <c r="F444" s="1" t="n">
        <v>546</v>
      </c>
      <c r="G444" s="1" t="n">
        <v>97.5</v>
      </c>
      <c r="H444" s="1" t="n">
        <v>95.2</v>
      </c>
      <c r="I444" s="1" t="n">
        <v>10</v>
      </c>
    </row>
    <row r="445" customFormat="false" ht="15.75" hidden="false" customHeight="true" outlineLevel="0" collapsed="false">
      <c r="A445" s="1" t="s">
        <v>510</v>
      </c>
      <c r="B445" s="1" t="s">
        <v>12</v>
      </c>
      <c r="C445" s="1" t="s">
        <v>13</v>
      </c>
      <c r="D445" s="1" t="s">
        <v>14</v>
      </c>
      <c r="E445" s="1" t="n">
        <v>539</v>
      </c>
      <c r="F445" s="1" t="n">
        <v>541</v>
      </c>
      <c r="G445" s="1" t="n">
        <v>53</v>
      </c>
      <c r="H445" s="1" t="n">
        <v>95.4</v>
      </c>
      <c r="I445" s="1" t="n">
        <v>260</v>
      </c>
    </row>
    <row r="446" customFormat="false" ht="15.75" hidden="false" customHeight="true" outlineLevel="0" collapsed="false">
      <c r="A446" s="1" t="s">
        <v>511</v>
      </c>
      <c r="B446" s="1" t="s">
        <v>12</v>
      </c>
      <c r="C446" s="1" t="s">
        <v>13</v>
      </c>
      <c r="D446" s="1" t="s">
        <v>14</v>
      </c>
      <c r="E446" s="1" t="n">
        <v>539</v>
      </c>
      <c r="F446" s="1" t="n">
        <v>541</v>
      </c>
      <c r="G446" s="1" t="n">
        <v>53</v>
      </c>
      <c r="H446" s="1" t="n">
        <v>95.4</v>
      </c>
      <c r="I446" s="1" t="n">
        <v>260</v>
      </c>
    </row>
    <row r="447" customFormat="false" ht="15.75" hidden="false" customHeight="true" outlineLevel="0" collapsed="false">
      <c r="A447" s="1" t="s">
        <v>512</v>
      </c>
      <c r="B447" s="1" t="s">
        <v>224</v>
      </c>
      <c r="C447" s="1" t="s">
        <v>13</v>
      </c>
      <c r="D447" s="1" t="s">
        <v>18</v>
      </c>
      <c r="E447" s="1" t="n">
        <v>476</v>
      </c>
      <c r="F447" s="1" t="n">
        <v>500</v>
      </c>
      <c r="G447" s="1" t="n">
        <v>97.5</v>
      </c>
      <c r="H447" s="1" t="n">
        <v>96</v>
      </c>
      <c r="I447" s="1" t="n">
        <v>4</v>
      </c>
    </row>
    <row r="448" customFormat="false" ht="15.75" hidden="false" customHeight="true" outlineLevel="0" collapsed="false">
      <c r="A448" s="1" t="s">
        <v>513</v>
      </c>
      <c r="B448" s="1" t="s">
        <v>12</v>
      </c>
      <c r="C448" s="1" t="s">
        <v>37</v>
      </c>
      <c r="D448" s="1" t="s">
        <v>98</v>
      </c>
      <c r="E448" s="1" t="n">
        <v>258</v>
      </c>
      <c r="F448" s="1" t="n">
        <v>268488</v>
      </c>
      <c r="G448" s="1" t="n">
        <v>29.6</v>
      </c>
      <c r="H448" s="1" t="n">
        <v>8758</v>
      </c>
      <c r="I448" s="1" t="n">
        <v>362</v>
      </c>
    </row>
    <row r="449" customFormat="false" ht="15.75" hidden="false" customHeight="true" outlineLevel="0" collapsed="false">
      <c r="A449" s="1" t="s">
        <v>514</v>
      </c>
      <c r="B449" s="1" t="s">
        <v>12</v>
      </c>
      <c r="C449" s="1" t="s">
        <v>13</v>
      </c>
      <c r="D449" s="1" t="s">
        <v>14</v>
      </c>
      <c r="E449" s="1" t="n">
        <v>548</v>
      </c>
      <c r="F449" s="1" t="n">
        <v>561</v>
      </c>
      <c r="G449" s="1" t="n">
        <v>53</v>
      </c>
      <c r="H449" s="1" t="n">
        <v>95.6</v>
      </c>
      <c r="I449" s="1" t="n">
        <v>260</v>
      </c>
    </row>
    <row r="450" customFormat="false" ht="15.75" hidden="false" customHeight="true" outlineLevel="0" collapsed="false">
      <c r="A450" s="1" t="s">
        <v>515</v>
      </c>
      <c r="B450" s="1" t="s">
        <v>12</v>
      </c>
      <c r="C450" s="1" t="s">
        <v>13</v>
      </c>
      <c r="D450" s="1" t="s">
        <v>14</v>
      </c>
      <c r="E450" s="1" t="n">
        <v>538</v>
      </c>
      <c r="F450" s="1" t="n">
        <v>541</v>
      </c>
      <c r="G450" s="1" t="n">
        <v>53.2</v>
      </c>
      <c r="H450" s="1" t="n">
        <v>95.4</v>
      </c>
      <c r="I450" s="1" t="n">
        <v>260</v>
      </c>
    </row>
    <row r="451" customFormat="false" ht="15.75" hidden="false" customHeight="true" outlineLevel="0" collapsed="false">
      <c r="A451" s="1" t="s">
        <v>516</v>
      </c>
      <c r="B451" s="1" t="s">
        <v>12</v>
      </c>
      <c r="C451" s="1" t="s">
        <v>13</v>
      </c>
      <c r="D451" s="1" t="s">
        <v>14</v>
      </c>
      <c r="E451" s="1" t="n">
        <v>539</v>
      </c>
      <c r="F451" s="1" t="n">
        <v>541</v>
      </c>
      <c r="G451" s="1" t="n">
        <v>53</v>
      </c>
      <c r="H451" s="1" t="n">
        <v>95.4</v>
      </c>
      <c r="I451" s="1" t="n">
        <v>260</v>
      </c>
    </row>
    <row r="452" customFormat="false" ht="15.75" hidden="false" customHeight="true" outlineLevel="0" collapsed="false">
      <c r="A452" s="1" t="s">
        <v>517</v>
      </c>
      <c r="B452" s="1" t="s">
        <v>56</v>
      </c>
      <c r="C452" s="1" t="s">
        <v>13</v>
      </c>
      <c r="D452" s="1" t="s">
        <v>14</v>
      </c>
      <c r="E452" s="1" t="n">
        <v>476</v>
      </c>
      <c r="F452" s="1" t="n">
        <v>500</v>
      </c>
      <c r="G452" s="1" t="n">
        <v>97</v>
      </c>
      <c r="H452" s="1" t="n">
        <v>95</v>
      </c>
      <c r="I452" s="1" t="n">
        <v>4</v>
      </c>
    </row>
    <row r="453" customFormat="false" ht="15.75" hidden="false" customHeight="true" outlineLevel="0" collapsed="false">
      <c r="A453" s="1" t="s">
        <v>518</v>
      </c>
      <c r="B453" s="1" t="s">
        <v>12</v>
      </c>
      <c r="C453" s="1" t="s">
        <v>13</v>
      </c>
      <c r="D453" s="1" t="s">
        <v>14</v>
      </c>
      <c r="E453" s="1" t="n">
        <v>538</v>
      </c>
      <c r="F453" s="1" t="n">
        <v>541</v>
      </c>
      <c r="G453" s="1" t="n">
        <v>53.2</v>
      </c>
      <c r="H453" s="1" t="n">
        <v>95.4</v>
      </c>
      <c r="I453" s="1" t="n">
        <v>260</v>
      </c>
    </row>
    <row r="454" customFormat="false" ht="15.75" hidden="false" customHeight="true" outlineLevel="0" collapsed="false">
      <c r="A454" s="1" t="s">
        <v>519</v>
      </c>
      <c r="B454" s="1" t="s">
        <v>23</v>
      </c>
      <c r="C454" s="1" t="s">
        <v>13</v>
      </c>
      <c r="D454" s="1" t="s">
        <v>14</v>
      </c>
      <c r="E454" s="1" t="n">
        <v>590</v>
      </c>
      <c r="F454" s="1" t="n">
        <v>600</v>
      </c>
      <c r="G454" s="1" t="n">
        <v>87.4</v>
      </c>
      <c r="H454" s="1" t="n">
        <v>96.75</v>
      </c>
      <c r="I454" s="1" t="n">
        <v>148</v>
      </c>
    </row>
    <row r="455" customFormat="false" ht="15.75" hidden="false" customHeight="true" outlineLevel="0" collapsed="false">
      <c r="A455" s="1" t="s">
        <v>520</v>
      </c>
      <c r="B455" s="1" t="s">
        <v>23</v>
      </c>
      <c r="C455" s="1" t="s">
        <v>13</v>
      </c>
      <c r="D455" s="1" t="s">
        <v>14</v>
      </c>
      <c r="E455" s="1" t="n">
        <v>1200</v>
      </c>
      <c r="F455" s="1" t="n">
        <v>1202</v>
      </c>
      <c r="G455" s="1" t="n">
        <v>87.4</v>
      </c>
      <c r="H455" s="1" t="n">
        <v>109.6</v>
      </c>
      <c r="I455" s="1" t="n">
        <v>148</v>
      </c>
    </row>
    <row r="456" customFormat="false" ht="15.75" hidden="false" customHeight="true" outlineLevel="0" collapsed="false">
      <c r="A456" s="1" t="s">
        <v>521</v>
      </c>
      <c r="B456" s="1" t="s">
        <v>12</v>
      </c>
      <c r="C456" s="1" t="s">
        <v>13</v>
      </c>
      <c r="D456" s="1" t="s">
        <v>14</v>
      </c>
      <c r="E456" s="1" t="n">
        <v>570</v>
      </c>
      <c r="F456" s="1" t="n">
        <v>575</v>
      </c>
      <c r="G456" s="1" t="n">
        <v>70</v>
      </c>
      <c r="H456" s="1" t="n">
        <v>96.1</v>
      </c>
      <c r="I456" s="1" t="n">
        <v>260</v>
      </c>
    </row>
    <row r="457" customFormat="false" ht="15.75" hidden="false" customHeight="true" outlineLevel="0" collapsed="false">
      <c r="A457" s="1" t="s">
        <v>522</v>
      </c>
      <c r="B457" s="1" t="s">
        <v>12</v>
      </c>
      <c r="C457" s="1" t="s">
        <v>13</v>
      </c>
      <c r="D457" s="1" t="s">
        <v>14</v>
      </c>
      <c r="E457" s="1" t="n">
        <v>476</v>
      </c>
      <c r="F457" s="1" t="n">
        <v>500</v>
      </c>
      <c r="G457" s="1" t="n">
        <v>97.4</v>
      </c>
      <c r="H457" s="1" t="n">
        <v>95</v>
      </c>
      <c r="I457" s="1" t="n">
        <v>4</v>
      </c>
    </row>
    <row r="458" customFormat="false" ht="15.75" hidden="false" customHeight="true" outlineLevel="0" collapsed="false">
      <c r="A458" s="1" t="s">
        <v>523</v>
      </c>
      <c r="B458" s="1" t="s">
        <v>12</v>
      </c>
      <c r="C458" s="1" t="s">
        <v>13</v>
      </c>
      <c r="D458" s="1" t="s">
        <v>14</v>
      </c>
      <c r="E458" s="1" t="n">
        <v>548</v>
      </c>
      <c r="F458" s="1" t="n">
        <v>561</v>
      </c>
      <c r="G458" s="1" t="n">
        <v>53</v>
      </c>
      <c r="H458" s="1" t="n">
        <v>95.6</v>
      </c>
      <c r="I458" s="1" t="n">
        <v>260</v>
      </c>
    </row>
    <row r="459" customFormat="false" ht="15.75" hidden="false" customHeight="true" outlineLevel="0" collapsed="false">
      <c r="A459" s="1" t="s">
        <v>524</v>
      </c>
      <c r="B459" s="1" t="s">
        <v>12</v>
      </c>
      <c r="C459" s="1" t="s">
        <v>13</v>
      </c>
      <c r="D459" s="1" t="s">
        <v>14</v>
      </c>
      <c r="E459" s="1" t="n">
        <v>323</v>
      </c>
      <c r="F459" s="1" t="n">
        <v>342</v>
      </c>
      <c r="G459" s="1" t="n">
        <v>43</v>
      </c>
      <c r="H459" s="1" t="n">
        <v>95.8</v>
      </c>
      <c r="I459" s="1" t="n">
        <v>290</v>
      </c>
    </row>
    <row r="460" customFormat="false" ht="15.75" hidden="false" customHeight="true" outlineLevel="0" collapsed="false">
      <c r="A460" s="1" t="s">
        <v>525</v>
      </c>
      <c r="B460" s="1" t="s">
        <v>23</v>
      </c>
      <c r="C460" s="1" t="s">
        <v>13</v>
      </c>
      <c r="D460" s="1" t="s">
        <v>14</v>
      </c>
      <c r="E460" s="1" t="n">
        <v>1215</v>
      </c>
      <c r="F460" s="1" t="n">
        <v>1220</v>
      </c>
      <c r="G460" s="1" t="n">
        <v>87.4</v>
      </c>
      <c r="H460" s="1" t="n">
        <v>93.5</v>
      </c>
      <c r="I460" s="1" t="n">
        <v>148</v>
      </c>
    </row>
    <row r="461" customFormat="false" ht="15.75" hidden="false" customHeight="true" outlineLevel="0" collapsed="false">
      <c r="A461" s="1" t="s">
        <v>526</v>
      </c>
      <c r="B461" s="1" t="s">
        <v>36</v>
      </c>
      <c r="C461" s="1" t="s">
        <v>97</v>
      </c>
      <c r="D461" s="1" t="s">
        <v>58</v>
      </c>
      <c r="E461" s="1" t="n">
        <v>496</v>
      </c>
      <c r="F461" s="1" t="n">
        <v>517</v>
      </c>
      <c r="G461" s="1" t="n">
        <v>97.4</v>
      </c>
      <c r="H461" s="1" t="n">
        <v>94.5</v>
      </c>
      <c r="I461" s="1" t="n">
        <v>15</v>
      </c>
    </row>
    <row r="462" customFormat="false" ht="15.75" hidden="false" customHeight="true" outlineLevel="0" collapsed="false">
      <c r="A462" s="1" t="s">
        <v>527</v>
      </c>
      <c r="B462" s="1" t="s">
        <v>12</v>
      </c>
      <c r="C462" s="1" t="s">
        <v>13</v>
      </c>
      <c r="D462" s="1" t="s">
        <v>14</v>
      </c>
      <c r="E462" s="1" t="n">
        <v>539</v>
      </c>
      <c r="F462" s="1" t="n">
        <v>541</v>
      </c>
      <c r="G462" s="1" t="n">
        <v>53</v>
      </c>
      <c r="H462" s="1" t="n">
        <v>95.4</v>
      </c>
      <c r="I462" s="1" t="n">
        <v>260</v>
      </c>
    </row>
    <row r="463" customFormat="false" ht="15.75" hidden="false" customHeight="true" outlineLevel="0" collapsed="false">
      <c r="A463" s="1" t="s">
        <v>528</v>
      </c>
      <c r="B463" s="1" t="s">
        <v>29</v>
      </c>
      <c r="C463" s="1" t="s">
        <v>13</v>
      </c>
      <c r="D463" s="1" t="s">
        <v>14</v>
      </c>
      <c r="E463" s="1" t="n">
        <v>35777</v>
      </c>
      <c r="F463" s="1" t="n">
        <v>35795</v>
      </c>
      <c r="G463" s="1" t="n">
        <v>0.02</v>
      </c>
      <c r="H463" s="1" t="n">
        <v>1436.07</v>
      </c>
      <c r="I463" s="1" t="n">
        <v>3138</v>
      </c>
    </row>
    <row r="464" customFormat="false" ht="15.75" hidden="false" customHeight="true" outlineLevel="0" collapsed="false">
      <c r="A464" s="1" t="s">
        <v>529</v>
      </c>
      <c r="B464" s="1" t="s">
        <v>12</v>
      </c>
      <c r="C464" s="1" t="s">
        <v>13</v>
      </c>
      <c r="D464" s="1" t="s">
        <v>14</v>
      </c>
      <c r="E464" s="1" t="n">
        <v>548</v>
      </c>
      <c r="F464" s="1" t="n">
        <v>561</v>
      </c>
      <c r="G464" s="1" t="n">
        <v>53</v>
      </c>
      <c r="H464" s="1" t="n">
        <v>95.6</v>
      </c>
      <c r="I464" s="1" t="n">
        <v>260</v>
      </c>
    </row>
    <row r="465" customFormat="false" ht="15.75" hidden="false" customHeight="true" outlineLevel="0" collapsed="false">
      <c r="A465" s="1" t="s">
        <v>530</v>
      </c>
      <c r="B465" s="1" t="s">
        <v>23</v>
      </c>
      <c r="C465" s="1" t="s">
        <v>13</v>
      </c>
      <c r="D465" s="1" t="s">
        <v>14</v>
      </c>
      <c r="E465" s="1" t="n">
        <v>1200</v>
      </c>
      <c r="F465" s="1" t="n">
        <v>1202</v>
      </c>
      <c r="G465" s="1" t="n">
        <v>87.9</v>
      </c>
      <c r="H465" s="1" t="n">
        <v>109.3</v>
      </c>
      <c r="I465" s="1" t="n">
        <v>148</v>
      </c>
    </row>
    <row r="466" customFormat="false" ht="15.75" hidden="false" customHeight="true" outlineLevel="0" collapsed="false">
      <c r="A466" s="1" t="s">
        <v>531</v>
      </c>
      <c r="B466" s="1" t="s">
        <v>12</v>
      </c>
      <c r="C466" s="1" t="s">
        <v>13</v>
      </c>
      <c r="D466" s="1" t="s">
        <v>14</v>
      </c>
      <c r="E466" s="1" t="n">
        <v>548</v>
      </c>
      <c r="F466" s="1" t="n">
        <v>561</v>
      </c>
      <c r="G466" s="1" t="n">
        <v>53</v>
      </c>
      <c r="H466" s="1" t="n">
        <v>95.6</v>
      </c>
      <c r="I466" s="1" t="n">
        <v>260</v>
      </c>
    </row>
    <row r="467" customFormat="false" ht="15.75" hidden="false" customHeight="true" outlineLevel="0" collapsed="false">
      <c r="A467" s="1" t="s">
        <v>532</v>
      </c>
      <c r="B467" s="1" t="s">
        <v>12</v>
      </c>
      <c r="C467" s="1" t="s">
        <v>13</v>
      </c>
      <c r="D467" s="1" t="s">
        <v>14</v>
      </c>
      <c r="E467" s="1" t="n">
        <v>539</v>
      </c>
      <c r="F467" s="1" t="n">
        <v>541</v>
      </c>
      <c r="G467" s="1" t="n">
        <v>53</v>
      </c>
      <c r="H467" s="1" t="n">
        <v>95.4</v>
      </c>
      <c r="I467" s="1" t="n">
        <v>260</v>
      </c>
    </row>
    <row r="468" customFormat="false" ht="15.75" hidden="false" customHeight="true" outlineLevel="0" collapsed="false">
      <c r="A468" s="1" t="s">
        <v>533</v>
      </c>
      <c r="B468" s="1" t="s">
        <v>20</v>
      </c>
      <c r="C468" s="1" t="s">
        <v>21</v>
      </c>
      <c r="D468" s="1" t="s">
        <v>14</v>
      </c>
      <c r="E468" s="1" t="n">
        <v>1417</v>
      </c>
      <c r="F468" s="1" t="n">
        <v>1425</v>
      </c>
      <c r="G468" s="1" t="n">
        <v>82.5</v>
      </c>
      <c r="H468" s="1" t="n">
        <v>114.2</v>
      </c>
      <c r="I468" s="1" t="n">
        <v>225</v>
      </c>
    </row>
    <row r="469" customFormat="false" ht="15.75" hidden="false" customHeight="true" outlineLevel="0" collapsed="false">
      <c r="A469" s="1" t="s">
        <v>534</v>
      </c>
      <c r="B469" s="1" t="s">
        <v>12</v>
      </c>
      <c r="C469" s="1" t="s">
        <v>13</v>
      </c>
      <c r="D469" s="1" t="s">
        <v>14</v>
      </c>
      <c r="E469" s="1" t="n">
        <v>565</v>
      </c>
      <c r="F469" s="1" t="n">
        <v>567</v>
      </c>
      <c r="G469" s="1" t="n">
        <v>43</v>
      </c>
      <c r="H469" s="1" t="n">
        <v>95.8</v>
      </c>
      <c r="I469" s="1" t="n">
        <v>290</v>
      </c>
    </row>
    <row r="470" customFormat="false" ht="15.75" hidden="false" customHeight="true" outlineLevel="0" collapsed="false">
      <c r="A470" s="1" t="s">
        <v>535</v>
      </c>
      <c r="B470" s="1" t="s">
        <v>12</v>
      </c>
      <c r="C470" s="1" t="s">
        <v>21</v>
      </c>
      <c r="D470" s="1" t="s">
        <v>58</v>
      </c>
      <c r="E470" s="1" t="n">
        <v>569</v>
      </c>
      <c r="F470" s="1" t="n">
        <v>588</v>
      </c>
      <c r="G470" s="1" t="n">
        <v>97.7</v>
      </c>
      <c r="H470" s="1" t="n">
        <v>96.3</v>
      </c>
      <c r="I470" s="1" t="n">
        <v>155</v>
      </c>
    </row>
    <row r="471" customFormat="false" ht="15.75" hidden="false" customHeight="true" outlineLevel="0" collapsed="false">
      <c r="A471" s="1" t="s">
        <v>536</v>
      </c>
      <c r="B471" s="1" t="s">
        <v>12</v>
      </c>
      <c r="C471" s="1" t="s">
        <v>13</v>
      </c>
      <c r="D471" s="1" t="s">
        <v>14</v>
      </c>
      <c r="E471" s="1" t="n">
        <v>548</v>
      </c>
      <c r="F471" s="1" t="n">
        <v>551</v>
      </c>
      <c r="G471" s="1" t="n">
        <v>53</v>
      </c>
      <c r="H471" s="1" t="n">
        <v>95.6</v>
      </c>
      <c r="I471" s="1" t="n">
        <v>260</v>
      </c>
    </row>
    <row r="472" customFormat="false" ht="15.75" hidden="false" customHeight="true" outlineLevel="0" collapsed="false">
      <c r="A472" s="1" t="s">
        <v>537</v>
      </c>
      <c r="B472" s="1" t="s">
        <v>12</v>
      </c>
      <c r="C472" s="1" t="s">
        <v>13</v>
      </c>
      <c r="D472" s="1" t="s">
        <v>18</v>
      </c>
      <c r="E472" s="1" t="n">
        <v>527</v>
      </c>
      <c r="F472" s="1" t="n">
        <v>535</v>
      </c>
      <c r="G472" s="1" t="n">
        <v>97.5</v>
      </c>
      <c r="H472" s="1" t="n">
        <v>95.2</v>
      </c>
      <c r="I472" s="1" t="n">
        <v>4</v>
      </c>
    </row>
    <row r="473" customFormat="false" ht="15.75" hidden="false" customHeight="true" outlineLevel="0" collapsed="false">
      <c r="A473" s="1" t="s">
        <v>538</v>
      </c>
      <c r="B473" s="1" t="s">
        <v>539</v>
      </c>
      <c r="C473" s="1" t="s">
        <v>13</v>
      </c>
      <c r="D473" s="1" t="s">
        <v>58</v>
      </c>
      <c r="E473" s="1" t="n">
        <v>566</v>
      </c>
      <c r="F473" s="1" t="n">
        <v>575</v>
      </c>
      <c r="G473" s="1" t="n">
        <v>36.9</v>
      </c>
      <c r="H473" s="1" t="n">
        <v>96.1</v>
      </c>
      <c r="I473" s="1" t="n">
        <v>5</v>
      </c>
    </row>
    <row r="474" customFormat="false" ht="15.75" hidden="false" customHeight="true" outlineLevel="0" collapsed="false">
      <c r="A474" s="1" t="s">
        <v>540</v>
      </c>
      <c r="B474" s="1" t="s">
        <v>12</v>
      </c>
      <c r="C474" s="1" t="s">
        <v>13</v>
      </c>
      <c r="D474" s="1" t="s">
        <v>14</v>
      </c>
      <c r="E474" s="1" t="n">
        <v>348</v>
      </c>
      <c r="F474" s="1" t="n">
        <v>351</v>
      </c>
      <c r="G474" s="1" t="n">
        <v>53.2</v>
      </c>
      <c r="H474" s="1" t="n">
        <v>91.5</v>
      </c>
      <c r="I474" s="1" t="n">
        <v>260</v>
      </c>
    </row>
    <row r="475" customFormat="false" ht="15.75" hidden="false" customHeight="true" outlineLevel="0" collapsed="false">
      <c r="A475" s="1" t="s">
        <v>541</v>
      </c>
      <c r="B475" s="1" t="s">
        <v>12</v>
      </c>
      <c r="C475" s="1" t="s">
        <v>390</v>
      </c>
      <c r="D475" s="1" t="s">
        <v>58</v>
      </c>
      <c r="E475" s="1" t="n">
        <v>305</v>
      </c>
      <c r="F475" s="1" t="n">
        <v>850</v>
      </c>
      <c r="G475" s="1" t="n">
        <v>28.5</v>
      </c>
      <c r="H475" s="1" t="n">
        <v>96.2</v>
      </c>
      <c r="I475" s="1" t="n">
        <v>5</v>
      </c>
    </row>
    <row r="476" customFormat="false" ht="15.75" hidden="false" customHeight="true" outlineLevel="0" collapsed="false">
      <c r="A476" s="1" t="s">
        <v>542</v>
      </c>
      <c r="B476" s="1" t="s">
        <v>23</v>
      </c>
      <c r="C476" s="1" t="s">
        <v>13</v>
      </c>
      <c r="D476" s="1" t="s">
        <v>14</v>
      </c>
      <c r="E476" s="1" t="n">
        <v>7838</v>
      </c>
      <c r="F476" s="1" t="n">
        <v>7840</v>
      </c>
      <c r="G476" s="1" t="n">
        <v>0.04</v>
      </c>
      <c r="H476" s="1" t="n">
        <v>281.17</v>
      </c>
      <c r="I476" s="1" t="n">
        <v>700</v>
      </c>
    </row>
    <row r="477" customFormat="false" ht="15.75" hidden="false" customHeight="true" outlineLevel="0" collapsed="false">
      <c r="A477" s="1" t="s">
        <v>543</v>
      </c>
      <c r="B477" s="1" t="s">
        <v>36</v>
      </c>
      <c r="C477" s="1" t="s">
        <v>37</v>
      </c>
      <c r="D477" s="1" t="s">
        <v>14</v>
      </c>
      <c r="E477" s="1" t="n">
        <v>37782</v>
      </c>
      <c r="F477" s="1" t="n">
        <v>37807</v>
      </c>
      <c r="G477" s="1" t="n">
        <v>0.1</v>
      </c>
      <c r="H477" s="1" t="n">
        <v>1436.1</v>
      </c>
      <c r="I477" s="1" t="n">
        <v>3400</v>
      </c>
    </row>
    <row r="478" customFormat="false" ht="15.75" hidden="false" customHeight="true" outlineLevel="0" collapsed="false">
      <c r="A478" s="1" t="s">
        <v>544</v>
      </c>
      <c r="B478" s="1" t="s">
        <v>12</v>
      </c>
      <c r="C478" s="1" t="s">
        <v>37</v>
      </c>
      <c r="D478" s="1" t="s">
        <v>18</v>
      </c>
      <c r="E478" s="1" t="n">
        <v>660</v>
      </c>
      <c r="F478" s="1" t="n">
        <v>686</v>
      </c>
      <c r="G478" s="1" t="n">
        <v>98.13</v>
      </c>
      <c r="H478" s="1" t="n">
        <v>98.21</v>
      </c>
    </row>
    <row r="479" customFormat="false" ht="15.75" hidden="false" customHeight="true" outlineLevel="0" collapsed="false">
      <c r="A479" s="1" t="s">
        <v>545</v>
      </c>
      <c r="B479" s="1" t="s">
        <v>12</v>
      </c>
      <c r="C479" s="1" t="s">
        <v>13</v>
      </c>
      <c r="D479" s="1" t="s">
        <v>14</v>
      </c>
      <c r="E479" s="1" t="n">
        <v>539</v>
      </c>
      <c r="F479" s="1" t="n">
        <v>541</v>
      </c>
      <c r="G479" s="1" t="n">
        <v>53.2</v>
      </c>
      <c r="H479" s="1" t="n">
        <v>95.4</v>
      </c>
      <c r="I479" s="1" t="n">
        <v>260</v>
      </c>
    </row>
    <row r="480" customFormat="false" ht="15.75" hidden="false" customHeight="true" outlineLevel="0" collapsed="false">
      <c r="A480" s="1" t="s">
        <v>546</v>
      </c>
      <c r="B480" s="1" t="s">
        <v>12</v>
      </c>
      <c r="C480" s="1" t="s">
        <v>13</v>
      </c>
      <c r="D480" s="1" t="s">
        <v>18</v>
      </c>
      <c r="E480" s="1" t="n">
        <v>499</v>
      </c>
      <c r="F480" s="1" t="n">
        <v>515</v>
      </c>
      <c r="G480" s="1" t="n">
        <v>97.5</v>
      </c>
      <c r="H480" s="1" t="n">
        <v>94.7</v>
      </c>
      <c r="I480" s="1" t="n">
        <v>4</v>
      </c>
    </row>
    <row r="481" customFormat="false" ht="15.75" hidden="false" customHeight="true" outlineLevel="0" collapsed="false">
      <c r="A481" s="1" t="s">
        <v>547</v>
      </c>
      <c r="B481" s="1" t="s">
        <v>12</v>
      </c>
      <c r="C481" s="1" t="s">
        <v>13</v>
      </c>
      <c r="D481" s="1" t="s">
        <v>14</v>
      </c>
      <c r="E481" s="1" t="n">
        <v>548</v>
      </c>
      <c r="F481" s="1" t="n">
        <v>561</v>
      </c>
      <c r="G481" s="1" t="n">
        <v>53</v>
      </c>
      <c r="H481" s="1" t="n">
        <v>95.6</v>
      </c>
      <c r="I481" s="1" t="n">
        <v>260</v>
      </c>
    </row>
    <row r="482" customFormat="false" ht="15.75" hidden="false" customHeight="true" outlineLevel="0" collapsed="false">
      <c r="A482" s="1" t="s">
        <v>548</v>
      </c>
      <c r="B482" s="1" t="s">
        <v>12</v>
      </c>
      <c r="C482" s="1" t="s">
        <v>13</v>
      </c>
      <c r="D482" s="1" t="s">
        <v>14</v>
      </c>
      <c r="E482" s="1" t="n">
        <v>548</v>
      </c>
      <c r="F482" s="1" t="n">
        <v>561</v>
      </c>
      <c r="G482" s="1" t="n">
        <v>53</v>
      </c>
      <c r="H482" s="1" t="n">
        <v>95.6</v>
      </c>
      <c r="I482" s="1" t="n">
        <v>260</v>
      </c>
    </row>
    <row r="483" customFormat="false" ht="15.75" hidden="false" customHeight="true" outlineLevel="0" collapsed="false">
      <c r="A483" s="1" t="s">
        <v>549</v>
      </c>
      <c r="B483" s="1" t="s">
        <v>12</v>
      </c>
      <c r="C483" s="1" t="s">
        <v>13</v>
      </c>
      <c r="D483" s="1" t="s">
        <v>14</v>
      </c>
      <c r="E483" s="1" t="n">
        <v>549</v>
      </c>
      <c r="F483" s="1" t="n">
        <v>551</v>
      </c>
      <c r="G483" s="1" t="n">
        <v>53</v>
      </c>
      <c r="H483" s="1" t="n">
        <v>96.5</v>
      </c>
      <c r="I483" s="1" t="n">
        <v>227</v>
      </c>
    </row>
    <row r="484" customFormat="false" ht="15.75" hidden="false" customHeight="true" outlineLevel="0" collapsed="false">
      <c r="A484" s="1" t="s">
        <v>550</v>
      </c>
      <c r="B484" s="1" t="s">
        <v>551</v>
      </c>
      <c r="C484" s="1" t="s">
        <v>13</v>
      </c>
      <c r="D484" s="1" t="s">
        <v>18</v>
      </c>
      <c r="E484" s="1" t="n">
        <v>561</v>
      </c>
      <c r="F484" s="1" t="n">
        <v>592</v>
      </c>
      <c r="G484" s="1" t="n">
        <v>10</v>
      </c>
      <c r="I484" s="1" t="n">
        <v>155</v>
      </c>
    </row>
    <row r="485" customFormat="false" ht="15.75" hidden="false" customHeight="true" outlineLevel="0" collapsed="false">
      <c r="A485" s="1" t="s">
        <v>552</v>
      </c>
      <c r="B485" s="1" t="s">
        <v>12</v>
      </c>
      <c r="C485" s="1" t="s">
        <v>13</v>
      </c>
      <c r="D485" s="1" t="s">
        <v>14</v>
      </c>
      <c r="E485" s="1" t="n">
        <v>548</v>
      </c>
      <c r="F485" s="1" t="n">
        <v>551</v>
      </c>
      <c r="G485" s="1" t="n">
        <v>53</v>
      </c>
      <c r="H485" s="1" t="n">
        <v>95.6</v>
      </c>
      <c r="I485" s="1" t="n">
        <v>260</v>
      </c>
    </row>
    <row r="486" customFormat="false" ht="15.75" hidden="false" customHeight="true" outlineLevel="0" collapsed="false">
      <c r="A486" s="1" t="s">
        <v>553</v>
      </c>
      <c r="B486" s="1" t="s">
        <v>71</v>
      </c>
      <c r="C486" s="1" t="s">
        <v>13</v>
      </c>
      <c r="D486" s="1" t="s">
        <v>58</v>
      </c>
      <c r="E486" s="1" t="n">
        <v>552</v>
      </c>
      <c r="F486" s="1" t="n">
        <v>572</v>
      </c>
      <c r="G486" s="1" t="n">
        <v>97.6</v>
      </c>
      <c r="H486" s="1" t="n">
        <v>94</v>
      </c>
      <c r="I486" s="1" t="n">
        <v>46</v>
      </c>
    </row>
    <row r="487" customFormat="false" ht="15.75" hidden="false" customHeight="true" outlineLevel="0" collapsed="false">
      <c r="A487" s="1" t="s">
        <v>554</v>
      </c>
      <c r="B487" s="1" t="s">
        <v>555</v>
      </c>
      <c r="C487" s="1" t="s">
        <v>37</v>
      </c>
      <c r="D487" s="1" t="s">
        <v>18</v>
      </c>
      <c r="E487" s="1" t="n">
        <v>751</v>
      </c>
      <c r="F487" s="1" t="n">
        <v>754</v>
      </c>
      <c r="G487" s="1" t="n">
        <v>98.53</v>
      </c>
      <c r="H487" s="1" t="n">
        <v>99.87</v>
      </c>
      <c r="I487" s="1" t="n">
        <v>830</v>
      </c>
    </row>
    <row r="488" customFormat="false" ht="15.75" hidden="false" customHeight="true" outlineLevel="0" collapsed="false">
      <c r="A488" s="1" t="s">
        <v>556</v>
      </c>
      <c r="B488" s="1" t="s">
        <v>12</v>
      </c>
      <c r="C488" s="1" t="s">
        <v>13</v>
      </c>
      <c r="D488" s="1" t="s">
        <v>14</v>
      </c>
      <c r="E488" s="1" t="n">
        <v>548</v>
      </c>
      <c r="F488" s="1" t="n">
        <v>561</v>
      </c>
      <c r="G488" s="1" t="n">
        <v>53</v>
      </c>
      <c r="H488" s="1" t="n">
        <v>95.6</v>
      </c>
      <c r="I488" s="1" t="n">
        <v>260</v>
      </c>
    </row>
    <row r="489" customFormat="false" ht="15.75" hidden="false" customHeight="true" outlineLevel="0" collapsed="false">
      <c r="A489" s="1" t="s">
        <v>557</v>
      </c>
      <c r="B489" s="1" t="s">
        <v>52</v>
      </c>
      <c r="C489" s="1" t="s">
        <v>13</v>
      </c>
      <c r="D489" s="1" t="s">
        <v>18</v>
      </c>
      <c r="E489" s="1" t="n">
        <v>479</v>
      </c>
      <c r="F489" s="1" t="n">
        <v>494</v>
      </c>
      <c r="G489" s="1" t="n">
        <v>97.4</v>
      </c>
      <c r="H489" s="1" t="n">
        <v>95.1</v>
      </c>
      <c r="I489" s="1" t="n">
        <v>50</v>
      </c>
    </row>
    <row r="490" customFormat="false" ht="15.75" hidden="false" customHeight="true" outlineLevel="0" collapsed="false">
      <c r="A490" s="1" t="s">
        <v>558</v>
      </c>
      <c r="B490" s="1" t="s">
        <v>12</v>
      </c>
      <c r="C490" s="1" t="s">
        <v>13</v>
      </c>
      <c r="D490" s="1" t="s">
        <v>14</v>
      </c>
      <c r="E490" s="1" t="n">
        <v>539</v>
      </c>
      <c r="F490" s="1" t="n">
        <v>541</v>
      </c>
      <c r="G490" s="1" t="n">
        <v>53</v>
      </c>
      <c r="H490" s="1" t="n">
        <v>95.4</v>
      </c>
      <c r="I490" s="1" t="n">
        <v>260</v>
      </c>
    </row>
    <row r="491" customFormat="false" ht="15.75" hidden="false" customHeight="true" outlineLevel="0" collapsed="false">
      <c r="A491" s="1" t="s">
        <v>559</v>
      </c>
      <c r="B491" s="1" t="s">
        <v>12</v>
      </c>
      <c r="C491" s="1" t="s">
        <v>13</v>
      </c>
      <c r="D491" s="1" t="s">
        <v>14</v>
      </c>
      <c r="E491" s="1" t="n">
        <v>348</v>
      </c>
      <c r="F491" s="1" t="n">
        <v>351</v>
      </c>
      <c r="G491" s="1" t="n">
        <v>53.2</v>
      </c>
      <c r="H491" s="1" t="n">
        <v>91.5</v>
      </c>
      <c r="I491" s="1" t="n">
        <v>260</v>
      </c>
    </row>
    <row r="492" customFormat="false" ht="15.75" hidden="false" customHeight="true" outlineLevel="0" collapsed="false">
      <c r="A492" s="1" t="s">
        <v>560</v>
      </c>
      <c r="B492" s="1" t="s">
        <v>23</v>
      </c>
      <c r="C492" s="1" t="s">
        <v>13</v>
      </c>
      <c r="D492" s="1" t="s">
        <v>14</v>
      </c>
      <c r="E492" s="1" t="n">
        <v>1215</v>
      </c>
      <c r="F492" s="1" t="n">
        <v>1220</v>
      </c>
      <c r="G492" s="1" t="n">
        <v>87.4</v>
      </c>
      <c r="H492" s="1" t="n">
        <v>93.5</v>
      </c>
      <c r="I492" s="1" t="n">
        <v>148</v>
      </c>
    </row>
    <row r="493" customFormat="false" ht="15.75" hidden="false" customHeight="true" outlineLevel="0" collapsed="false">
      <c r="A493" s="1" t="s">
        <v>561</v>
      </c>
      <c r="B493" s="1" t="s">
        <v>12</v>
      </c>
      <c r="C493" s="1" t="s">
        <v>13</v>
      </c>
      <c r="D493" s="1" t="s">
        <v>14</v>
      </c>
      <c r="E493" s="1" t="n">
        <v>539</v>
      </c>
      <c r="F493" s="1" t="n">
        <v>541</v>
      </c>
      <c r="G493" s="1" t="n">
        <v>53.2</v>
      </c>
      <c r="H493" s="1" t="n">
        <v>95.4</v>
      </c>
      <c r="I493" s="1" t="n">
        <v>260</v>
      </c>
    </row>
    <row r="494" customFormat="false" ht="15.75" hidden="false" customHeight="true" outlineLevel="0" collapsed="false">
      <c r="A494" s="1" t="s">
        <v>562</v>
      </c>
      <c r="B494" s="1" t="s">
        <v>12</v>
      </c>
      <c r="C494" s="1" t="s">
        <v>13</v>
      </c>
      <c r="D494" s="1" t="s">
        <v>14</v>
      </c>
      <c r="E494" s="1" t="n">
        <v>35549</v>
      </c>
      <c r="F494" s="1" t="n">
        <v>36152</v>
      </c>
      <c r="G494" s="1" t="n">
        <v>0.04</v>
      </c>
      <c r="H494" s="1" t="n">
        <v>1439.36</v>
      </c>
      <c r="I494" s="1" t="n">
        <v>6600</v>
      </c>
    </row>
    <row r="495" customFormat="false" ht="15.75" hidden="false" customHeight="true" outlineLevel="0" collapsed="false">
      <c r="A495" s="1" t="s">
        <v>563</v>
      </c>
      <c r="B495" s="1" t="s">
        <v>12</v>
      </c>
      <c r="C495" s="1" t="s">
        <v>13</v>
      </c>
      <c r="D495" s="1" t="s">
        <v>14</v>
      </c>
      <c r="E495" s="1" t="n">
        <v>539</v>
      </c>
      <c r="F495" s="1" t="n">
        <v>541</v>
      </c>
      <c r="G495" s="1" t="n">
        <v>53</v>
      </c>
      <c r="H495" s="1" t="n">
        <v>95.4</v>
      </c>
      <c r="I495" s="1" t="n">
        <v>260</v>
      </c>
    </row>
    <row r="496" customFormat="false" ht="15.75" hidden="false" customHeight="true" outlineLevel="0" collapsed="false">
      <c r="A496" s="1" t="s">
        <v>564</v>
      </c>
      <c r="B496" s="1" t="s">
        <v>12</v>
      </c>
      <c r="C496" s="1" t="s">
        <v>13</v>
      </c>
      <c r="D496" s="1" t="s">
        <v>14</v>
      </c>
      <c r="E496" s="1" t="n">
        <v>538</v>
      </c>
      <c r="F496" s="1" t="n">
        <v>541</v>
      </c>
      <c r="G496" s="1" t="n">
        <v>53.2</v>
      </c>
      <c r="H496" s="1" t="n">
        <v>95.4</v>
      </c>
      <c r="I496" s="1" t="n">
        <v>260</v>
      </c>
    </row>
    <row r="497" customFormat="false" ht="15.75" hidden="false" customHeight="true" outlineLevel="0" collapsed="false">
      <c r="A497" s="1" t="s">
        <v>565</v>
      </c>
      <c r="B497" s="1" t="s">
        <v>12</v>
      </c>
      <c r="C497" s="1" t="s">
        <v>13</v>
      </c>
      <c r="D497" s="1" t="s">
        <v>14</v>
      </c>
      <c r="E497" s="1" t="n">
        <v>538</v>
      </c>
      <c r="F497" s="1" t="n">
        <v>541</v>
      </c>
      <c r="G497" s="1" t="n">
        <v>53.2</v>
      </c>
      <c r="H497" s="1" t="n">
        <v>95.4</v>
      </c>
      <c r="I497" s="1" t="n">
        <v>260</v>
      </c>
    </row>
    <row r="498" customFormat="false" ht="15.75" hidden="false" customHeight="true" outlineLevel="0" collapsed="false">
      <c r="A498" s="1" t="s">
        <v>566</v>
      </c>
      <c r="B498" s="1" t="s">
        <v>71</v>
      </c>
      <c r="C498" s="1" t="s">
        <v>37</v>
      </c>
      <c r="D498" s="1" t="s">
        <v>18</v>
      </c>
      <c r="E498" s="1" t="n">
        <v>510</v>
      </c>
      <c r="F498" s="1" t="n">
        <v>510</v>
      </c>
      <c r="G498" s="1" t="n">
        <v>97.5</v>
      </c>
      <c r="H498" s="1" t="n">
        <v>94.85</v>
      </c>
      <c r="I498" s="1" t="n">
        <v>1600</v>
      </c>
    </row>
    <row r="499" customFormat="false" ht="15.75" hidden="false" customHeight="true" outlineLevel="0" collapsed="false">
      <c r="A499" s="1" t="s">
        <v>567</v>
      </c>
      <c r="B499" s="1" t="s">
        <v>12</v>
      </c>
      <c r="C499" s="1" t="s">
        <v>13</v>
      </c>
      <c r="D499" s="1" t="s">
        <v>568</v>
      </c>
      <c r="E499" s="1" t="n">
        <v>523</v>
      </c>
      <c r="F499" s="1" t="n">
        <v>536</v>
      </c>
      <c r="G499" s="1" t="n">
        <v>97.5</v>
      </c>
      <c r="H499" s="1" t="n">
        <v>95.1</v>
      </c>
      <c r="I499" s="1" t="n">
        <v>80</v>
      </c>
    </row>
    <row r="500" customFormat="false" ht="15.75" hidden="false" customHeight="true" outlineLevel="0" collapsed="false">
      <c r="A500" s="1" t="s">
        <v>569</v>
      </c>
      <c r="B500" s="1" t="s">
        <v>12</v>
      </c>
      <c r="C500" s="1" t="s">
        <v>13</v>
      </c>
      <c r="D500" s="1" t="s">
        <v>14</v>
      </c>
      <c r="E500" s="1" t="n">
        <v>564</v>
      </c>
      <c r="F500" s="1" t="n">
        <v>567</v>
      </c>
      <c r="G500" s="1" t="n">
        <v>43</v>
      </c>
      <c r="H500" s="1" t="n">
        <v>95.8</v>
      </c>
      <c r="I500" s="1" t="n">
        <v>290</v>
      </c>
    </row>
    <row r="501" customFormat="false" ht="15.75" hidden="false" customHeight="true" outlineLevel="0" collapsed="false">
      <c r="A501" s="1" t="s">
        <v>570</v>
      </c>
      <c r="B501" s="1" t="s">
        <v>12</v>
      </c>
      <c r="C501" s="1" t="s">
        <v>13</v>
      </c>
      <c r="D501" s="1" t="s">
        <v>14</v>
      </c>
      <c r="E501" s="1" t="n">
        <v>548</v>
      </c>
      <c r="F501" s="1" t="n">
        <v>561</v>
      </c>
      <c r="G501" s="1" t="n">
        <v>53</v>
      </c>
      <c r="H501" s="1" t="n">
        <v>95.6</v>
      </c>
      <c r="I501" s="1" t="n">
        <v>260</v>
      </c>
    </row>
    <row r="502" customFormat="false" ht="15.75" hidden="false" customHeight="true" outlineLevel="0" collapsed="false">
      <c r="A502" s="1" t="s">
        <v>571</v>
      </c>
      <c r="B502" s="1" t="s">
        <v>52</v>
      </c>
      <c r="C502" s="1" t="s">
        <v>37</v>
      </c>
      <c r="D502" s="1" t="s">
        <v>161</v>
      </c>
      <c r="E502" s="1" t="n">
        <v>504</v>
      </c>
      <c r="F502" s="1" t="n">
        <v>515</v>
      </c>
      <c r="G502" s="1" t="n">
        <v>97.4</v>
      </c>
      <c r="H502" s="1" t="n">
        <v>94.8</v>
      </c>
    </row>
    <row r="503" customFormat="false" ht="15.75" hidden="false" customHeight="true" outlineLevel="0" collapsed="false">
      <c r="A503" s="1" t="s">
        <v>572</v>
      </c>
      <c r="B503" s="1" t="s">
        <v>12</v>
      </c>
      <c r="C503" s="1" t="s">
        <v>13</v>
      </c>
      <c r="D503" s="1" t="s">
        <v>14</v>
      </c>
      <c r="E503" s="1" t="n">
        <v>549</v>
      </c>
      <c r="F503" s="1" t="n">
        <v>550</v>
      </c>
      <c r="G503" s="1" t="n">
        <v>53</v>
      </c>
      <c r="H503" s="1" t="n">
        <v>94.6</v>
      </c>
      <c r="I503" s="1" t="n">
        <v>227</v>
      </c>
    </row>
    <row r="504" customFormat="false" ht="15.75" hidden="false" customHeight="true" outlineLevel="0" collapsed="false">
      <c r="A504" s="1" t="s">
        <v>573</v>
      </c>
      <c r="B504" s="1" t="s">
        <v>12</v>
      </c>
      <c r="C504" s="1" t="s">
        <v>574</v>
      </c>
      <c r="D504" s="1" t="s">
        <v>18</v>
      </c>
      <c r="E504" s="1" t="n">
        <v>493</v>
      </c>
      <c r="F504" s="1" t="n">
        <v>505</v>
      </c>
      <c r="G504" s="1" t="n">
        <v>97.5</v>
      </c>
      <c r="H504" s="1" t="n">
        <v>94.5</v>
      </c>
      <c r="I504" s="1" t="n">
        <v>3.8</v>
      </c>
    </row>
    <row r="505" customFormat="false" ht="15.75" hidden="false" customHeight="true" outlineLevel="0" collapsed="false">
      <c r="A505" s="1" t="s">
        <v>575</v>
      </c>
      <c r="B505" s="1" t="s">
        <v>12</v>
      </c>
      <c r="C505" s="1" t="s">
        <v>13</v>
      </c>
      <c r="D505" s="1" t="s">
        <v>14</v>
      </c>
      <c r="E505" s="1" t="n">
        <v>564</v>
      </c>
      <c r="F505" s="1" t="n">
        <v>582</v>
      </c>
      <c r="G505" s="1" t="n">
        <v>53</v>
      </c>
      <c r="H505" s="1" t="n">
        <v>95.6</v>
      </c>
      <c r="I505" s="1" t="n">
        <v>260</v>
      </c>
    </row>
    <row r="506" customFormat="false" ht="15.75" hidden="false" customHeight="true" outlineLevel="0" collapsed="false">
      <c r="A506" s="1" t="s">
        <v>576</v>
      </c>
      <c r="B506" s="1" t="s">
        <v>12</v>
      </c>
      <c r="C506" s="1" t="s">
        <v>13</v>
      </c>
      <c r="D506" s="1" t="s">
        <v>14</v>
      </c>
      <c r="E506" s="1" t="n">
        <v>548</v>
      </c>
      <c r="F506" s="1" t="n">
        <v>561</v>
      </c>
      <c r="G506" s="1" t="n">
        <v>53</v>
      </c>
      <c r="H506" s="1" t="n">
        <v>95.6</v>
      </c>
      <c r="I506" s="1" t="n">
        <v>260</v>
      </c>
    </row>
    <row r="507" customFormat="false" ht="15.75" hidden="false" customHeight="true" outlineLevel="0" collapsed="false">
      <c r="A507" s="1" t="s">
        <v>577</v>
      </c>
      <c r="B507" s="1" t="s">
        <v>12</v>
      </c>
      <c r="C507" s="1" t="s">
        <v>13</v>
      </c>
      <c r="D507" s="1" t="s">
        <v>14</v>
      </c>
      <c r="E507" s="1" t="n">
        <v>539</v>
      </c>
      <c r="F507" s="1" t="n">
        <v>541</v>
      </c>
      <c r="G507" s="1" t="n">
        <v>53.2</v>
      </c>
      <c r="H507" s="1" t="n">
        <v>95.4</v>
      </c>
      <c r="I507" s="1" t="n">
        <v>260</v>
      </c>
    </row>
    <row r="508" customFormat="false" ht="15.75" hidden="false" customHeight="true" outlineLevel="0" collapsed="false">
      <c r="A508" s="1" t="s">
        <v>578</v>
      </c>
      <c r="B508" s="1" t="s">
        <v>12</v>
      </c>
      <c r="C508" s="1" t="s">
        <v>13</v>
      </c>
      <c r="D508" s="1" t="s">
        <v>14</v>
      </c>
      <c r="E508" s="1" t="n">
        <v>378</v>
      </c>
      <c r="F508" s="1" t="n">
        <v>381</v>
      </c>
      <c r="G508" s="1" t="n">
        <v>53</v>
      </c>
      <c r="H508" s="1" t="n">
        <v>96.5</v>
      </c>
      <c r="I508" s="1" t="n">
        <v>227</v>
      </c>
    </row>
    <row r="509" customFormat="false" ht="15.75" hidden="false" customHeight="true" outlineLevel="0" collapsed="false">
      <c r="A509" s="1" t="s">
        <v>579</v>
      </c>
      <c r="B509" s="1" t="s">
        <v>12</v>
      </c>
      <c r="C509" s="1" t="s">
        <v>13</v>
      </c>
      <c r="D509" s="1" t="s">
        <v>14</v>
      </c>
      <c r="E509" s="1" t="n">
        <v>538</v>
      </c>
      <c r="F509" s="1" t="n">
        <v>541</v>
      </c>
      <c r="G509" s="1" t="n">
        <v>53.2</v>
      </c>
      <c r="H509" s="1" t="n">
        <v>95.4</v>
      </c>
      <c r="I509" s="1" t="n">
        <v>260</v>
      </c>
    </row>
    <row r="510" customFormat="false" ht="15.75" hidden="false" customHeight="true" outlineLevel="0" collapsed="false">
      <c r="A510" s="1" t="s">
        <v>580</v>
      </c>
      <c r="B510" s="1" t="s">
        <v>20</v>
      </c>
      <c r="C510" s="1" t="s">
        <v>21</v>
      </c>
      <c r="D510" s="1" t="s">
        <v>18</v>
      </c>
      <c r="E510" s="1" t="n">
        <v>896</v>
      </c>
      <c r="F510" s="1" t="n">
        <v>908</v>
      </c>
      <c r="G510" s="1" t="n">
        <v>67.1</v>
      </c>
      <c r="H510" s="1" t="n">
        <v>103.09</v>
      </c>
      <c r="I510" s="1" t="n">
        <v>5000</v>
      </c>
    </row>
    <row r="511" customFormat="false" ht="15.75" hidden="false" customHeight="true" outlineLevel="0" collapsed="false">
      <c r="A511" s="1" t="s">
        <v>581</v>
      </c>
      <c r="B511" s="1" t="s">
        <v>582</v>
      </c>
      <c r="C511" s="1" t="s">
        <v>13</v>
      </c>
      <c r="D511" s="1" t="s">
        <v>14</v>
      </c>
      <c r="E511" s="1" t="n">
        <v>35786</v>
      </c>
      <c r="F511" s="1" t="n">
        <v>35796</v>
      </c>
      <c r="G511" s="1" t="n">
        <v>0.05</v>
      </c>
      <c r="H511" s="1" t="n">
        <v>1436.3</v>
      </c>
      <c r="I511" s="1" t="n">
        <v>3325</v>
      </c>
    </row>
    <row r="512" customFormat="false" ht="15.75" hidden="false" customHeight="true" outlineLevel="0" collapsed="false">
      <c r="A512" s="1" t="s">
        <v>583</v>
      </c>
      <c r="B512" s="1" t="s">
        <v>12</v>
      </c>
      <c r="C512" s="1" t="s">
        <v>13</v>
      </c>
      <c r="D512" s="1" t="s">
        <v>18</v>
      </c>
      <c r="E512" s="1" t="n">
        <v>451</v>
      </c>
      <c r="F512" s="1" t="n">
        <v>452</v>
      </c>
      <c r="G512" s="1" t="n">
        <v>51.6</v>
      </c>
      <c r="H512" s="1" t="n">
        <v>93.6</v>
      </c>
      <c r="I512" s="1" t="n">
        <v>10</v>
      </c>
    </row>
    <row r="513" customFormat="false" ht="15.75" hidden="false" customHeight="true" outlineLevel="0" collapsed="false">
      <c r="A513" s="1" t="s">
        <v>584</v>
      </c>
      <c r="B513" s="1" t="s">
        <v>12</v>
      </c>
      <c r="C513" s="1" t="s">
        <v>13</v>
      </c>
      <c r="D513" s="1" t="s">
        <v>14</v>
      </c>
      <c r="E513" s="1" t="n">
        <v>549</v>
      </c>
      <c r="F513" s="1" t="n">
        <v>551</v>
      </c>
      <c r="G513" s="1" t="n">
        <v>53</v>
      </c>
      <c r="H513" s="1" t="n">
        <v>90.3</v>
      </c>
      <c r="I513" s="1" t="n">
        <v>227</v>
      </c>
    </row>
    <row r="514" customFormat="false" ht="15.75" hidden="false" customHeight="true" outlineLevel="0" collapsed="false">
      <c r="A514" s="1" t="s">
        <v>585</v>
      </c>
      <c r="B514" s="1" t="s">
        <v>12</v>
      </c>
      <c r="C514" s="1" t="s">
        <v>13</v>
      </c>
      <c r="D514" s="1" t="s">
        <v>14</v>
      </c>
      <c r="E514" s="1" t="n">
        <v>539</v>
      </c>
      <c r="F514" s="1" t="n">
        <v>541</v>
      </c>
      <c r="G514" s="1" t="n">
        <v>53</v>
      </c>
      <c r="H514" s="1" t="n">
        <v>95.4</v>
      </c>
      <c r="I514" s="1" t="n">
        <v>260</v>
      </c>
    </row>
    <row r="515" customFormat="false" ht="15.75" hidden="false" customHeight="true" outlineLevel="0" collapsed="false">
      <c r="A515" s="1" t="s">
        <v>586</v>
      </c>
      <c r="B515" s="1" t="s">
        <v>587</v>
      </c>
      <c r="C515" s="1" t="s">
        <v>21</v>
      </c>
      <c r="D515" s="1" t="s">
        <v>14</v>
      </c>
      <c r="E515" s="1" t="n">
        <v>35769</v>
      </c>
      <c r="F515" s="1" t="n">
        <v>35802</v>
      </c>
      <c r="G515" s="1" t="n">
        <v>1.01</v>
      </c>
      <c r="H515" s="1" t="n">
        <v>1436.06</v>
      </c>
      <c r="I515" s="1" t="n">
        <v>2596</v>
      </c>
    </row>
    <row r="516" customFormat="false" ht="15.75" hidden="false" customHeight="true" outlineLevel="0" collapsed="false">
      <c r="A516" s="1" t="s">
        <v>588</v>
      </c>
      <c r="B516" s="1" t="s">
        <v>12</v>
      </c>
      <c r="C516" s="1" t="s">
        <v>13</v>
      </c>
      <c r="D516" s="1" t="s">
        <v>14</v>
      </c>
      <c r="E516" s="1" t="n">
        <v>549</v>
      </c>
      <c r="F516" s="1" t="n">
        <v>551</v>
      </c>
      <c r="G516" s="1" t="n">
        <v>53</v>
      </c>
      <c r="H516" s="1" t="n">
        <v>92.1</v>
      </c>
      <c r="I516" s="1" t="n">
        <v>227</v>
      </c>
    </row>
    <row r="517" customFormat="false" ht="15.75" hidden="false" customHeight="true" outlineLevel="0" collapsed="false">
      <c r="A517" s="1" t="s">
        <v>589</v>
      </c>
      <c r="B517" s="1" t="s">
        <v>12</v>
      </c>
      <c r="C517" s="1" t="s">
        <v>13</v>
      </c>
      <c r="D517" s="1" t="s">
        <v>18</v>
      </c>
      <c r="E517" s="1" t="n">
        <v>451</v>
      </c>
      <c r="F517" s="1" t="n">
        <v>454</v>
      </c>
      <c r="G517" s="1" t="n">
        <v>51.6</v>
      </c>
      <c r="H517" s="1" t="n">
        <v>93.6</v>
      </c>
      <c r="I517" s="1" t="n">
        <v>10</v>
      </c>
    </row>
    <row r="518" customFormat="false" ht="15.75" hidden="false" customHeight="true" outlineLevel="0" collapsed="false">
      <c r="A518" s="1" t="s">
        <v>590</v>
      </c>
      <c r="B518" s="1" t="s">
        <v>12</v>
      </c>
      <c r="C518" s="1" t="s">
        <v>13</v>
      </c>
      <c r="D518" s="1" t="s">
        <v>14</v>
      </c>
      <c r="E518" s="1" t="n">
        <v>565</v>
      </c>
      <c r="F518" s="1" t="n">
        <v>567</v>
      </c>
      <c r="G518" s="1" t="n">
        <v>43</v>
      </c>
      <c r="H518" s="1" t="n">
        <v>95.8</v>
      </c>
      <c r="I518" s="1" t="n">
        <v>290</v>
      </c>
    </row>
    <row r="519" customFormat="false" ht="15.75" hidden="false" customHeight="true" outlineLevel="0" collapsed="false">
      <c r="A519" s="1" t="s">
        <v>591</v>
      </c>
      <c r="B519" s="1" t="s">
        <v>23</v>
      </c>
      <c r="C519" s="1" t="s">
        <v>13</v>
      </c>
      <c r="D519" s="1" t="s">
        <v>14</v>
      </c>
      <c r="E519" s="1" t="n">
        <v>1215</v>
      </c>
      <c r="F519" s="1" t="n">
        <v>1220</v>
      </c>
      <c r="G519" s="1" t="n">
        <v>87.4</v>
      </c>
      <c r="H519" s="1" t="n">
        <v>93.5</v>
      </c>
      <c r="I519" s="1" t="n">
        <v>148</v>
      </c>
    </row>
    <row r="520" customFormat="false" ht="15.75" hidden="false" customHeight="true" outlineLevel="0" collapsed="false">
      <c r="A520" s="1" t="s">
        <v>592</v>
      </c>
      <c r="B520" s="1" t="s">
        <v>12</v>
      </c>
      <c r="C520" s="1" t="s">
        <v>13</v>
      </c>
      <c r="D520" s="1" t="s">
        <v>14</v>
      </c>
      <c r="E520" s="1" t="n">
        <v>548</v>
      </c>
      <c r="F520" s="1" t="n">
        <v>561</v>
      </c>
      <c r="G520" s="1" t="n">
        <v>53</v>
      </c>
      <c r="H520" s="1" t="n">
        <v>95.6</v>
      </c>
      <c r="I520" s="1" t="n">
        <v>260</v>
      </c>
    </row>
    <row r="521" customFormat="false" ht="15.75" hidden="false" customHeight="true" outlineLevel="0" collapsed="false">
      <c r="A521" s="1" t="s">
        <v>593</v>
      </c>
      <c r="B521" s="1" t="s">
        <v>12</v>
      </c>
      <c r="C521" s="1" t="s">
        <v>13</v>
      </c>
      <c r="D521" s="1" t="s">
        <v>14</v>
      </c>
      <c r="E521" s="1" t="n">
        <v>548</v>
      </c>
      <c r="F521" s="1" t="n">
        <v>561</v>
      </c>
      <c r="G521" s="1" t="n">
        <v>53</v>
      </c>
      <c r="H521" s="1" t="n">
        <v>95.6</v>
      </c>
      <c r="I521" s="1" t="n">
        <v>260</v>
      </c>
    </row>
    <row r="522" customFormat="false" ht="15.75" hidden="false" customHeight="true" outlineLevel="0" collapsed="false">
      <c r="A522" s="1" t="s">
        <v>594</v>
      </c>
      <c r="B522" s="1" t="s">
        <v>12</v>
      </c>
      <c r="C522" s="1" t="s">
        <v>13</v>
      </c>
      <c r="D522" s="1" t="s">
        <v>14</v>
      </c>
      <c r="E522" s="1" t="n">
        <v>548</v>
      </c>
      <c r="F522" s="1" t="n">
        <v>551</v>
      </c>
      <c r="G522" s="1" t="n">
        <v>53</v>
      </c>
      <c r="H522" s="1" t="n">
        <v>95.6</v>
      </c>
      <c r="I522" s="1" t="n">
        <v>260</v>
      </c>
    </row>
    <row r="523" customFormat="false" ht="15.75" hidden="false" customHeight="true" outlineLevel="0" collapsed="false">
      <c r="A523" s="1" t="s">
        <v>595</v>
      </c>
      <c r="B523" s="1" t="s">
        <v>12</v>
      </c>
      <c r="C523" s="1" t="s">
        <v>13</v>
      </c>
      <c r="D523" s="1" t="s">
        <v>18</v>
      </c>
      <c r="E523" s="1" t="n">
        <v>521</v>
      </c>
      <c r="F523" s="1" t="n">
        <v>535</v>
      </c>
      <c r="G523" s="1" t="n">
        <v>97.5</v>
      </c>
      <c r="H523" s="1" t="n">
        <v>95.2</v>
      </c>
      <c r="I523" s="1" t="n">
        <v>10</v>
      </c>
    </row>
    <row r="524" customFormat="false" ht="15.75" hidden="false" customHeight="true" outlineLevel="0" collapsed="false">
      <c r="A524" s="1" t="s">
        <v>596</v>
      </c>
      <c r="B524" s="1" t="s">
        <v>52</v>
      </c>
      <c r="C524" s="1" t="s">
        <v>83</v>
      </c>
      <c r="D524" s="1" t="s">
        <v>14</v>
      </c>
      <c r="E524" s="1" t="n">
        <v>35781</v>
      </c>
      <c r="F524" s="1" t="n">
        <v>35792</v>
      </c>
      <c r="G524" s="1" t="n">
        <v>0.03</v>
      </c>
      <c r="H524" s="1" t="n">
        <v>1436.1</v>
      </c>
      <c r="I524" s="1" t="n">
        <v>5250</v>
      </c>
    </row>
    <row r="525" customFormat="false" ht="15.75" hidden="false" customHeight="true" outlineLevel="0" collapsed="false">
      <c r="A525" s="1" t="s">
        <v>597</v>
      </c>
      <c r="B525" s="1" t="s">
        <v>12</v>
      </c>
      <c r="C525" s="1" t="s">
        <v>13</v>
      </c>
      <c r="D525" s="1" t="s">
        <v>14</v>
      </c>
      <c r="E525" s="1" t="n">
        <v>548</v>
      </c>
      <c r="F525" s="1" t="n">
        <v>561</v>
      </c>
      <c r="G525" s="1" t="n">
        <v>53</v>
      </c>
      <c r="H525" s="1" t="n">
        <v>95.6</v>
      </c>
      <c r="I525" s="1" t="n">
        <v>260</v>
      </c>
    </row>
    <row r="526" customFormat="false" ht="15.75" hidden="false" customHeight="true" outlineLevel="0" collapsed="false">
      <c r="A526" s="1" t="s">
        <v>598</v>
      </c>
      <c r="B526" s="1" t="s">
        <v>12</v>
      </c>
      <c r="C526" s="1" t="s">
        <v>13</v>
      </c>
      <c r="D526" s="1" t="s">
        <v>14</v>
      </c>
      <c r="E526" s="1" t="n">
        <v>548</v>
      </c>
      <c r="F526" s="1" t="n">
        <v>561</v>
      </c>
      <c r="G526" s="1" t="n">
        <v>53</v>
      </c>
      <c r="H526" s="1" t="n">
        <v>95.6</v>
      </c>
      <c r="I526" s="1" t="n">
        <v>260</v>
      </c>
    </row>
    <row r="527" customFormat="false" ht="15.75" hidden="false" customHeight="true" outlineLevel="0" collapsed="false">
      <c r="A527" s="1" t="s">
        <v>599</v>
      </c>
      <c r="B527" s="1" t="s">
        <v>12</v>
      </c>
      <c r="C527" s="1" t="s">
        <v>13</v>
      </c>
      <c r="D527" s="1" t="s">
        <v>14</v>
      </c>
      <c r="E527" s="1" t="n">
        <v>548</v>
      </c>
      <c r="F527" s="1" t="n">
        <v>561</v>
      </c>
      <c r="G527" s="1" t="n">
        <v>53</v>
      </c>
      <c r="H527" s="1" t="n">
        <v>95.6</v>
      </c>
      <c r="I527" s="1" t="n">
        <v>260</v>
      </c>
    </row>
    <row r="528" customFormat="false" ht="15.75" hidden="false" customHeight="true" outlineLevel="0" collapsed="false">
      <c r="A528" s="1" t="s">
        <v>600</v>
      </c>
      <c r="B528" s="1" t="s">
        <v>12</v>
      </c>
      <c r="C528" s="1" t="s">
        <v>13</v>
      </c>
      <c r="D528" s="1" t="s">
        <v>14</v>
      </c>
      <c r="E528" s="1" t="n">
        <v>348</v>
      </c>
      <c r="F528" s="1" t="n">
        <v>351</v>
      </c>
      <c r="G528" s="1" t="n">
        <v>53.2</v>
      </c>
      <c r="H528" s="1" t="n">
        <v>91.5</v>
      </c>
      <c r="I528" s="1" t="n">
        <v>260</v>
      </c>
    </row>
    <row r="529" customFormat="false" ht="15.75" hidden="false" customHeight="true" outlineLevel="0" collapsed="false">
      <c r="A529" s="1" t="s">
        <v>601</v>
      </c>
      <c r="B529" s="1" t="s">
        <v>12</v>
      </c>
      <c r="C529" s="1" t="s">
        <v>13</v>
      </c>
      <c r="D529" s="1" t="s">
        <v>14</v>
      </c>
      <c r="E529" s="1" t="n">
        <v>539</v>
      </c>
      <c r="F529" s="1" t="n">
        <v>541</v>
      </c>
      <c r="G529" s="1" t="n">
        <v>53.2</v>
      </c>
      <c r="H529" s="1" t="n">
        <v>95.4</v>
      </c>
      <c r="I529" s="1" t="n">
        <v>260</v>
      </c>
    </row>
    <row r="530" customFormat="false" ht="15.75" hidden="false" customHeight="true" outlineLevel="0" collapsed="false">
      <c r="A530" s="1" t="s">
        <v>602</v>
      </c>
      <c r="B530" s="1" t="s">
        <v>23</v>
      </c>
      <c r="C530" s="1" t="s">
        <v>13</v>
      </c>
      <c r="D530" s="1" t="s">
        <v>14</v>
      </c>
      <c r="E530" s="1" t="n">
        <v>1200</v>
      </c>
      <c r="F530" s="1" t="n">
        <v>1202</v>
      </c>
      <c r="G530" s="1" t="n">
        <v>87.4</v>
      </c>
      <c r="H530" s="1" t="n">
        <v>96.3</v>
      </c>
      <c r="I530" s="1" t="n">
        <v>148</v>
      </c>
    </row>
    <row r="531" customFormat="false" ht="15.75" hidden="false" customHeight="true" outlineLevel="0" collapsed="false">
      <c r="A531" s="1" t="s">
        <v>603</v>
      </c>
      <c r="B531" s="1" t="s">
        <v>52</v>
      </c>
      <c r="C531" s="1" t="s">
        <v>21</v>
      </c>
      <c r="D531" s="1" t="s">
        <v>18</v>
      </c>
      <c r="E531" s="1" t="n">
        <v>589</v>
      </c>
      <c r="F531" s="1" t="n">
        <v>604</v>
      </c>
      <c r="G531" s="1" t="n">
        <v>35</v>
      </c>
      <c r="H531" s="1" t="n">
        <v>96.6</v>
      </c>
    </row>
    <row r="532" customFormat="false" ht="15.75" hidden="false" customHeight="true" outlineLevel="0" collapsed="false">
      <c r="A532" s="1" t="s">
        <v>604</v>
      </c>
      <c r="B532" s="1" t="s">
        <v>12</v>
      </c>
      <c r="C532" s="1" t="s">
        <v>13</v>
      </c>
      <c r="D532" s="1" t="s">
        <v>14</v>
      </c>
      <c r="E532" s="1" t="n">
        <v>538</v>
      </c>
      <c r="F532" s="1" t="n">
        <v>541</v>
      </c>
      <c r="G532" s="1" t="n">
        <v>53.2</v>
      </c>
      <c r="H532" s="1" t="n">
        <v>95.4</v>
      </c>
      <c r="I532" s="1" t="n">
        <v>260</v>
      </c>
    </row>
    <row r="533" customFormat="false" ht="15.75" hidden="false" customHeight="true" outlineLevel="0" collapsed="false">
      <c r="A533" s="1" t="s">
        <v>605</v>
      </c>
      <c r="B533" s="1" t="s">
        <v>23</v>
      </c>
      <c r="C533" s="1" t="s">
        <v>13</v>
      </c>
      <c r="D533" s="1" t="s">
        <v>14</v>
      </c>
      <c r="E533" s="1" t="n">
        <v>1215</v>
      </c>
      <c r="F533" s="1" t="n">
        <v>1220</v>
      </c>
      <c r="G533" s="1" t="n">
        <v>87.4</v>
      </c>
      <c r="H533" s="1" t="n">
        <v>93.5</v>
      </c>
      <c r="I533" s="1" t="n">
        <v>148</v>
      </c>
    </row>
    <row r="534" customFormat="false" ht="15.75" hidden="false" customHeight="true" outlineLevel="0" collapsed="false">
      <c r="A534" s="1" t="s">
        <v>606</v>
      </c>
      <c r="B534" s="1" t="s">
        <v>23</v>
      </c>
      <c r="C534" s="1" t="s">
        <v>13</v>
      </c>
      <c r="D534" s="1" t="s">
        <v>14</v>
      </c>
      <c r="E534" s="1" t="n">
        <v>590</v>
      </c>
      <c r="F534" s="1" t="n">
        <v>600</v>
      </c>
      <c r="G534" s="1" t="n">
        <v>87.4</v>
      </c>
      <c r="H534" s="1" t="n">
        <v>96.75</v>
      </c>
      <c r="I534" s="1" t="n">
        <v>148</v>
      </c>
    </row>
    <row r="535" customFormat="false" ht="15.75" hidden="false" customHeight="true" outlineLevel="0" collapsed="false">
      <c r="A535" s="1" t="s">
        <v>607</v>
      </c>
      <c r="B535" s="1" t="s">
        <v>23</v>
      </c>
      <c r="C535" s="1" t="s">
        <v>13</v>
      </c>
      <c r="D535" s="1" t="s">
        <v>14</v>
      </c>
      <c r="E535" s="1" t="n">
        <v>1200</v>
      </c>
      <c r="F535" s="1" t="n">
        <v>1202</v>
      </c>
      <c r="G535" s="1" t="n">
        <v>87.4</v>
      </c>
      <c r="H535" s="1" t="n">
        <v>93.8</v>
      </c>
      <c r="I535" s="1" t="n">
        <v>148</v>
      </c>
    </row>
    <row r="536" customFormat="false" ht="15.75" hidden="false" customHeight="true" outlineLevel="0" collapsed="false">
      <c r="A536" s="1" t="s">
        <v>608</v>
      </c>
      <c r="B536" s="1" t="s">
        <v>609</v>
      </c>
      <c r="C536" s="1" t="s">
        <v>37</v>
      </c>
      <c r="D536" s="1" t="s">
        <v>14</v>
      </c>
      <c r="E536" s="1" t="n">
        <v>35744</v>
      </c>
      <c r="F536" s="1" t="n">
        <v>35798</v>
      </c>
      <c r="G536" s="1" t="n">
        <v>0.04</v>
      </c>
      <c r="H536" s="1" t="n">
        <v>1436.1</v>
      </c>
      <c r="I536" s="1" t="n">
        <v>5225</v>
      </c>
    </row>
    <row r="537" customFormat="false" ht="15.75" hidden="false" customHeight="true" outlineLevel="0" collapsed="false">
      <c r="A537" s="1" t="s">
        <v>610</v>
      </c>
      <c r="B537" s="1" t="s">
        <v>12</v>
      </c>
      <c r="C537" s="1" t="s">
        <v>13</v>
      </c>
      <c r="D537" s="1" t="s">
        <v>14</v>
      </c>
      <c r="E537" s="1" t="n">
        <v>348</v>
      </c>
      <c r="F537" s="1" t="n">
        <v>351</v>
      </c>
      <c r="G537" s="1" t="n">
        <v>53.2</v>
      </c>
      <c r="H537" s="1" t="n">
        <v>91.5</v>
      </c>
      <c r="I537" s="1" t="n">
        <v>260</v>
      </c>
    </row>
    <row r="538" customFormat="false" ht="15.75" hidden="false" customHeight="true" outlineLevel="0" collapsed="false">
      <c r="A538" s="1" t="s">
        <v>611</v>
      </c>
      <c r="B538" s="1" t="s">
        <v>20</v>
      </c>
      <c r="C538" s="1" t="s">
        <v>47</v>
      </c>
      <c r="D538" s="1" t="s">
        <v>14</v>
      </c>
      <c r="E538" s="1" t="n">
        <v>35781</v>
      </c>
      <c r="F538" s="1" t="n">
        <v>35803</v>
      </c>
      <c r="G538" s="1" t="n">
        <v>0</v>
      </c>
      <c r="H538" s="1" t="n">
        <v>1436</v>
      </c>
      <c r="I538" s="1" t="n">
        <v>3000</v>
      </c>
    </row>
    <row r="539" customFormat="false" ht="15.75" hidden="false" customHeight="true" outlineLevel="0" collapsed="false">
      <c r="A539" s="1" t="s">
        <v>612</v>
      </c>
      <c r="B539" s="1" t="s">
        <v>12</v>
      </c>
      <c r="C539" s="1" t="s">
        <v>47</v>
      </c>
      <c r="D539" s="1" t="s">
        <v>48</v>
      </c>
      <c r="E539" s="1" t="n">
        <v>20123</v>
      </c>
      <c r="F539" s="1" t="n">
        <v>20247</v>
      </c>
      <c r="G539" s="1" t="n">
        <v>54.9</v>
      </c>
      <c r="H539" s="1" t="n">
        <v>718.09</v>
      </c>
      <c r="I539" s="1" t="n">
        <v>2217</v>
      </c>
    </row>
    <row r="540" customFormat="false" ht="15.75" hidden="false" customHeight="true" outlineLevel="0" collapsed="false">
      <c r="A540" s="1" t="s">
        <v>613</v>
      </c>
      <c r="B540" s="1" t="s">
        <v>17</v>
      </c>
      <c r="C540" s="1" t="s">
        <v>13</v>
      </c>
      <c r="D540" s="1" t="s">
        <v>161</v>
      </c>
      <c r="E540" s="1" t="n">
        <v>496</v>
      </c>
      <c r="F540" s="1" t="n">
        <v>507</v>
      </c>
      <c r="G540" s="1" t="n">
        <v>97.5</v>
      </c>
      <c r="H540" s="1" t="n">
        <v>95</v>
      </c>
      <c r="I540" s="1" t="n">
        <v>10</v>
      </c>
    </row>
    <row r="541" customFormat="false" ht="15.75" hidden="false" customHeight="true" outlineLevel="0" collapsed="false">
      <c r="A541" s="1" t="s">
        <v>614</v>
      </c>
      <c r="B541" s="1" t="s">
        <v>12</v>
      </c>
      <c r="C541" s="1" t="s">
        <v>13</v>
      </c>
      <c r="D541" s="1" t="s">
        <v>14</v>
      </c>
      <c r="E541" s="1" t="n">
        <v>538</v>
      </c>
      <c r="F541" s="1" t="n">
        <v>541</v>
      </c>
      <c r="G541" s="1" t="n">
        <v>53.2</v>
      </c>
      <c r="H541" s="1" t="n">
        <v>95.4</v>
      </c>
      <c r="I541" s="1" t="n">
        <v>260</v>
      </c>
    </row>
    <row r="542" customFormat="false" ht="15.75" hidden="false" customHeight="true" outlineLevel="0" collapsed="false">
      <c r="A542" s="1" t="s">
        <v>615</v>
      </c>
      <c r="B542" s="1" t="s">
        <v>12</v>
      </c>
      <c r="C542" s="1" t="s">
        <v>13</v>
      </c>
      <c r="D542" s="1" t="s">
        <v>14</v>
      </c>
      <c r="E542" s="1" t="n">
        <v>544</v>
      </c>
      <c r="F542" s="1" t="n">
        <v>555</v>
      </c>
      <c r="G542" s="1" t="n">
        <v>53</v>
      </c>
      <c r="H542" s="1" t="n">
        <v>95.6</v>
      </c>
      <c r="I542" s="1" t="n">
        <v>227</v>
      </c>
    </row>
    <row r="543" customFormat="false" ht="15.75" hidden="false" customHeight="true" outlineLevel="0" collapsed="false">
      <c r="A543" s="1" t="s">
        <v>616</v>
      </c>
      <c r="B543" s="1" t="s">
        <v>12</v>
      </c>
      <c r="C543" s="1" t="s">
        <v>13</v>
      </c>
      <c r="D543" s="1" t="s">
        <v>14</v>
      </c>
      <c r="E543" s="1" t="n">
        <v>539</v>
      </c>
      <c r="F543" s="1" t="n">
        <v>541</v>
      </c>
      <c r="G543" s="1" t="n">
        <v>53</v>
      </c>
      <c r="H543" s="1" t="n">
        <v>95.4</v>
      </c>
      <c r="I543" s="1" t="n">
        <v>260</v>
      </c>
    </row>
    <row r="544" customFormat="false" ht="15.75" hidden="false" customHeight="true" outlineLevel="0" collapsed="false">
      <c r="A544" s="1" t="s">
        <v>617</v>
      </c>
      <c r="B544" s="1" t="s">
        <v>52</v>
      </c>
      <c r="C544" s="1" t="s">
        <v>13</v>
      </c>
      <c r="D544" s="1" t="s">
        <v>18</v>
      </c>
      <c r="E544" s="1" t="n">
        <v>491</v>
      </c>
      <c r="F544" s="1" t="n">
        <v>511</v>
      </c>
      <c r="G544" s="1" t="n">
        <v>97.4</v>
      </c>
      <c r="H544" s="1" t="n">
        <v>94.6</v>
      </c>
      <c r="I544" s="1" t="n">
        <v>90</v>
      </c>
    </row>
    <row r="545" customFormat="false" ht="15.75" hidden="false" customHeight="true" outlineLevel="0" collapsed="false">
      <c r="A545" s="1" t="s">
        <v>618</v>
      </c>
      <c r="B545" s="1" t="s">
        <v>12</v>
      </c>
      <c r="C545" s="1" t="s">
        <v>13</v>
      </c>
      <c r="D545" s="1" t="s">
        <v>14</v>
      </c>
      <c r="E545" s="1" t="n">
        <v>35774</v>
      </c>
      <c r="F545" s="1" t="n">
        <v>35798</v>
      </c>
      <c r="G545" s="1" t="n">
        <v>0</v>
      </c>
      <c r="H545" s="1" t="n">
        <v>1436</v>
      </c>
      <c r="I545" s="1" t="n">
        <v>5800</v>
      </c>
    </row>
    <row r="546" customFormat="false" ht="15.75" hidden="false" customHeight="true" outlineLevel="0" collapsed="false">
      <c r="A546" s="1" t="s">
        <v>619</v>
      </c>
      <c r="B546" s="1" t="s">
        <v>12</v>
      </c>
      <c r="C546" s="1" t="s">
        <v>13</v>
      </c>
      <c r="D546" s="1" t="s">
        <v>14</v>
      </c>
      <c r="E546" s="1" t="n">
        <v>569</v>
      </c>
      <c r="F546" s="1" t="n">
        <v>571</v>
      </c>
      <c r="G546" s="1" t="n">
        <v>97.7</v>
      </c>
      <c r="H546" s="1" t="n">
        <v>95.9</v>
      </c>
      <c r="I546" s="1" t="n">
        <v>300</v>
      </c>
    </row>
    <row r="547" customFormat="false" ht="15.75" hidden="false" customHeight="true" outlineLevel="0" collapsed="false">
      <c r="A547" s="1" t="s">
        <v>620</v>
      </c>
      <c r="B547" s="1" t="s">
        <v>12</v>
      </c>
      <c r="C547" s="1" t="s">
        <v>13</v>
      </c>
      <c r="D547" s="1" t="s">
        <v>14</v>
      </c>
      <c r="E547" s="1" t="n">
        <v>348</v>
      </c>
      <c r="F547" s="1" t="n">
        <v>351</v>
      </c>
      <c r="G547" s="1" t="n">
        <v>53.2</v>
      </c>
      <c r="H547" s="1" t="n">
        <v>91.5</v>
      </c>
      <c r="I547" s="1" t="n">
        <v>260</v>
      </c>
    </row>
    <row r="548" customFormat="false" ht="15.75" hidden="false" customHeight="true" outlineLevel="0" collapsed="false">
      <c r="A548" s="1" t="s">
        <v>621</v>
      </c>
      <c r="B548" s="1" t="s">
        <v>12</v>
      </c>
      <c r="C548" s="1" t="s">
        <v>13</v>
      </c>
      <c r="D548" s="1" t="s">
        <v>14</v>
      </c>
      <c r="E548" s="1" t="n">
        <v>549</v>
      </c>
      <c r="F548" s="1" t="n">
        <v>550</v>
      </c>
      <c r="G548" s="1" t="n">
        <v>53</v>
      </c>
      <c r="H548" s="1" t="n">
        <v>94.1</v>
      </c>
      <c r="I548" s="1" t="n">
        <v>227</v>
      </c>
    </row>
    <row r="549" customFormat="false" ht="15.75" hidden="false" customHeight="true" outlineLevel="0" collapsed="false">
      <c r="A549" s="1" t="s">
        <v>622</v>
      </c>
      <c r="B549" s="1" t="s">
        <v>623</v>
      </c>
      <c r="C549" s="1" t="s">
        <v>37</v>
      </c>
      <c r="D549" s="1" t="s">
        <v>18</v>
      </c>
      <c r="E549" s="1" t="n">
        <v>588</v>
      </c>
      <c r="F549" s="1" t="n">
        <v>624</v>
      </c>
      <c r="G549" s="1" t="n">
        <v>98</v>
      </c>
      <c r="H549" s="1" t="n">
        <v>96.8</v>
      </c>
      <c r="I549" s="1" t="n">
        <v>1200</v>
      </c>
    </row>
    <row r="550" customFormat="false" ht="15.75" hidden="false" customHeight="true" outlineLevel="0" collapsed="false">
      <c r="A550" s="1" t="s">
        <v>624</v>
      </c>
      <c r="B550" s="1" t="s">
        <v>12</v>
      </c>
      <c r="C550" s="1" t="s">
        <v>13</v>
      </c>
      <c r="D550" s="1" t="s">
        <v>14</v>
      </c>
      <c r="E550" s="1" t="n">
        <v>539</v>
      </c>
      <c r="F550" s="1" t="n">
        <v>541</v>
      </c>
      <c r="G550" s="1" t="n">
        <v>53</v>
      </c>
      <c r="H550" s="1" t="n">
        <v>95.4</v>
      </c>
      <c r="I550" s="1" t="n">
        <v>260</v>
      </c>
    </row>
    <row r="551" customFormat="false" ht="15.75" hidden="false" customHeight="true" outlineLevel="0" collapsed="false">
      <c r="A551" s="1" t="s">
        <v>625</v>
      </c>
      <c r="B551" s="1" t="s">
        <v>12</v>
      </c>
      <c r="C551" s="1" t="s">
        <v>21</v>
      </c>
      <c r="D551" s="1" t="s">
        <v>18</v>
      </c>
      <c r="E551" s="1" t="n">
        <v>1014</v>
      </c>
      <c r="F551" s="1" t="n">
        <v>1099</v>
      </c>
      <c r="G551" s="1" t="n">
        <v>63.4</v>
      </c>
      <c r="H551" s="1" t="n">
        <v>107.4</v>
      </c>
      <c r="I551" s="1" t="n">
        <v>6500</v>
      </c>
    </row>
    <row r="552" customFormat="false" ht="15.75" hidden="false" customHeight="true" outlineLevel="0" collapsed="false">
      <c r="A552" s="1" t="s">
        <v>626</v>
      </c>
      <c r="B552" s="1" t="s">
        <v>52</v>
      </c>
      <c r="C552" s="1" t="s">
        <v>37</v>
      </c>
      <c r="D552" s="1" t="s">
        <v>627</v>
      </c>
      <c r="E552" s="1" t="n">
        <v>690</v>
      </c>
      <c r="F552" s="1" t="n">
        <v>720</v>
      </c>
      <c r="G552" s="1" t="n">
        <v>98.1</v>
      </c>
      <c r="H552" s="1" t="n">
        <v>98.87</v>
      </c>
      <c r="I552" s="1" t="n">
        <v>50</v>
      </c>
    </row>
    <row r="553" customFormat="false" ht="15.75" hidden="false" customHeight="true" outlineLevel="0" collapsed="false">
      <c r="A553" s="1" t="s">
        <v>628</v>
      </c>
      <c r="B553" s="1" t="s">
        <v>186</v>
      </c>
      <c r="C553" s="1" t="s">
        <v>13</v>
      </c>
      <c r="D553" s="1" t="s">
        <v>14</v>
      </c>
      <c r="E553" s="1" t="n">
        <v>526</v>
      </c>
      <c r="F553" s="1" t="n">
        <v>535</v>
      </c>
      <c r="G553" s="1" t="n">
        <v>97.5</v>
      </c>
      <c r="H553" s="1" t="n">
        <v>95.2</v>
      </c>
      <c r="I553" s="1" t="n">
        <v>9</v>
      </c>
    </row>
    <row r="554" customFormat="false" ht="15.75" hidden="false" customHeight="true" outlineLevel="0" collapsed="false">
      <c r="A554" s="1" t="s">
        <v>629</v>
      </c>
      <c r="B554" s="1" t="s">
        <v>52</v>
      </c>
      <c r="C554" s="1" t="s">
        <v>13</v>
      </c>
      <c r="D554" s="1" t="s">
        <v>18</v>
      </c>
      <c r="E554" s="1" t="n">
        <v>495</v>
      </c>
      <c r="F554" s="1" t="n">
        <v>511</v>
      </c>
      <c r="G554" s="1" t="n">
        <v>97.3</v>
      </c>
      <c r="H554" s="1" t="n">
        <v>94.6</v>
      </c>
      <c r="I554" s="1" t="n">
        <v>45</v>
      </c>
    </row>
    <row r="555" customFormat="false" ht="15.75" hidden="false" customHeight="true" outlineLevel="0" collapsed="false">
      <c r="A555" s="1" t="s">
        <v>630</v>
      </c>
      <c r="B555" s="1" t="s">
        <v>12</v>
      </c>
      <c r="C555" s="1" t="s">
        <v>13</v>
      </c>
      <c r="D555" s="1" t="s">
        <v>14</v>
      </c>
      <c r="E555" s="1" t="n">
        <v>577</v>
      </c>
      <c r="F555" s="1" t="n">
        <v>581</v>
      </c>
      <c r="G555" s="1" t="n">
        <v>70</v>
      </c>
      <c r="H555" s="1" t="n">
        <v>96.1</v>
      </c>
      <c r="I555" s="1" t="n">
        <v>290</v>
      </c>
    </row>
    <row r="556" customFormat="false" ht="15.75" hidden="false" customHeight="true" outlineLevel="0" collapsed="false">
      <c r="A556" s="1" t="s">
        <v>631</v>
      </c>
      <c r="B556" s="1" t="s">
        <v>168</v>
      </c>
      <c r="C556" s="1" t="s">
        <v>21</v>
      </c>
      <c r="D556" s="1" t="s">
        <v>18</v>
      </c>
      <c r="E556" s="1" t="n">
        <v>532</v>
      </c>
      <c r="F556" s="1" t="n">
        <v>537</v>
      </c>
      <c r="G556" s="1" t="n">
        <v>97.5</v>
      </c>
      <c r="H556" s="1" t="n">
        <v>95.1</v>
      </c>
      <c r="I556" s="1" t="n">
        <v>4</v>
      </c>
    </row>
    <row r="557" customFormat="false" ht="15.75" hidden="false" customHeight="true" outlineLevel="0" collapsed="false">
      <c r="A557" s="1" t="s">
        <v>632</v>
      </c>
      <c r="B557" s="1" t="s">
        <v>52</v>
      </c>
      <c r="C557" s="1" t="s">
        <v>21</v>
      </c>
      <c r="D557" s="1" t="s">
        <v>18</v>
      </c>
      <c r="E557" s="1" t="n">
        <v>592</v>
      </c>
      <c r="F557" s="1" t="n">
        <v>601</v>
      </c>
      <c r="G557" s="1" t="n">
        <v>35</v>
      </c>
      <c r="H557" s="1" t="n">
        <v>96.4</v>
      </c>
    </row>
    <row r="558" customFormat="false" ht="15.75" hidden="false" customHeight="true" outlineLevel="0" collapsed="false">
      <c r="A558" s="1" t="s">
        <v>633</v>
      </c>
      <c r="B558" s="1" t="s">
        <v>12</v>
      </c>
      <c r="C558" s="1" t="s">
        <v>13</v>
      </c>
      <c r="D558" s="1" t="s">
        <v>14</v>
      </c>
      <c r="E558" s="1" t="n">
        <v>377</v>
      </c>
      <c r="F558" s="1" t="n">
        <v>382</v>
      </c>
      <c r="G558" s="1" t="n">
        <v>53</v>
      </c>
      <c r="H558" s="1" t="n">
        <v>95.6</v>
      </c>
      <c r="I558" s="1" t="n">
        <v>227</v>
      </c>
    </row>
    <row r="559" customFormat="false" ht="15.75" hidden="false" customHeight="true" outlineLevel="0" collapsed="false">
      <c r="A559" s="1" t="s">
        <v>634</v>
      </c>
      <c r="B559" s="1" t="s">
        <v>12</v>
      </c>
      <c r="C559" s="1" t="s">
        <v>13</v>
      </c>
      <c r="D559" s="1" t="s">
        <v>14</v>
      </c>
      <c r="E559" s="1" t="n">
        <v>565</v>
      </c>
      <c r="F559" s="1" t="n">
        <v>567</v>
      </c>
      <c r="G559" s="1" t="n">
        <v>43</v>
      </c>
      <c r="H559" s="1" t="n">
        <v>95</v>
      </c>
      <c r="I559" s="1" t="n">
        <v>290</v>
      </c>
    </row>
    <row r="560" customFormat="false" ht="15.75" hidden="false" customHeight="true" outlineLevel="0" collapsed="false">
      <c r="A560" s="1" t="s">
        <v>635</v>
      </c>
      <c r="B560" s="1" t="s">
        <v>23</v>
      </c>
      <c r="C560" s="1" t="s">
        <v>13</v>
      </c>
      <c r="D560" s="1" t="s">
        <v>14</v>
      </c>
      <c r="E560" s="1" t="n">
        <v>590</v>
      </c>
      <c r="F560" s="1" t="n">
        <v>600</v>
      </c>
      <c r="G560" s="1" t="n">
        <v>87.4</v>
      </c>
      <c r="H560" s="1" t="n">
        <v>96.75</v>
      </c>
      <c r="I560" s="1" t="n">
        <v>148</v>
      </c>
    </row>
    <row r="561" customFormat="false" ht="15.75" hidden="false" customHeight="true" outlineLevel="0" collapsed="false">
      <c r="A561" s="1" t="s">
        <v>636</v>
      </c>
      <c r="B561" s="1" t="s">
        <v>587</v>
      </c>
      <c r="C561" s="1" t="s">
        <v>97</v>
      </c>
      <c r="D561" s="1" t="s">
        <v>14</v>
      </c>
      <c r="E561" s="1" t="n">
        <v>535</v>
      </c>
      <c r="F561" s="1" t="n">
        <v>564</v>
      </c>
      <c r="G561" s="1" t="n">
        <v>97.5</v>
      </c>
      <c r="H561" s="1" t="n">
        <v>95.4</v>
      </c>
      <c r="I561" s="1" t="n">
        <v>1</v>
      </c>
    </row>
    <row r="562" customFormat="false" ht="15.75" hidden="false" customHeight="true" outlineLevel="0" collapsed="false">
      <c r="A562" s="1" t="s">
        <v>637</v>
      </c>
      <c r="B562" s="1" t="s">
        <v>12</v>
      </c>
      <c r="C562" s="1" t="s">
        <v>13</v>
      </c>
      <c r="D562" s="1" t="s">
        <v>14</v>
      </c>
      <c r="E562" s="1" t="n">
        <v>569</v>
      </c>
      <c r="F562" s="1" t="n">
        <v>571</v>
      </c>
      <c r="G562" s="1" t="n">
        <v>97.7</v>
      </c>
      <c r="H562" s="1" t="n">
        <v>95.9</v>
      </c>
      <c r="I562" s="1" t="n">
        <v>300</v>
      </c>
    </row>
    <row r="563" customFormat="false" ht="15.75" hidden="false" customHeight="true" outlineLevel="0" collapsed="false">
      <c r="A563" s="1" t="s">
        <v>638</v>
      </c>
      <c r="B563" s="1" t="s">
        <v>23</v>
      </c>
      <c r="C563" s="1" t="s">
        <v>13</v>
      </c>
      <c r="D563" s="1" t="s">
        <v>14</v>
      </c>
      <c r="E563" s="1" t="n">
        <v>1200</v>
      </c>
      <c r="F563" s="1" t="n">
        <v>1202</v>
      </c>
      <c r="G563" s="1" t="n">
        <v>87.4</v>
      </c>
      <c r="H563" s="1" t="n">
        <v>109.6</v>
      </c>
      <c r="I563" s="1" t="n">
        <v>148</v>
      </c>
    </row>
    <row r="564" customFormat="false" ht="15.75" hidden="false" customHeight="true" outlineLevel="0" collapsed="false">
      <c r="A564" s="1" t="s">
        <v>639</v>
      </c>
      <c r="B564" s="1" t="s">
        <v>12</v>
      </c>
      <c r="C564" s="1" t="s">
        <v>21</v>
      </c>
      <c r="D564" s="1" t="s">
        <v>18</v>
      </c>
      <c r="E564" s="1" t="n">
        <v>524</v>
      </c>
      <c r="F564" s="1" t="n">
        <v>758</v>
      </c>
      <c r="G564" s="1" t="n">
        <v>98.2</v>
      </c>
      <c r="H564" s="1" t="n">
        <v>97.9</v>
      </c>
      <c r="I564" s="1" t="n">
        <v>20000</v>
      </c>
    </row>
    <row r="565" customFormat="false" ht="15.75" hidden="false" customHeight="true" outlineLevel="0" collapsed="false">
      <c r="A565" s="1" t="s">
        <v>640</v>
      </c>
      <c r="B565" s="1" t="s">
        <v>12</v>
      </c>
      <c r="C565" s="1" t="s">
        <v>13</v>
      </c>
      <c r="D565" s="1" t="s">
        <v>14</v>
      </c>
      <c r="E565" s="1" t="n">
        <v>539</v>
      </c>
      <c r="F565" s="1" t="n">
        <v>541</v>
      </c>
      <c r="G565" s="1" t="n">
        <v>53.2</v>
      </c>
      <c r="H565" s="1" t="n">
        <v>95.4</v>
      </c>
      <c r="I565" s="1" t="n">
        <v>260</v>
      </c>
    </row>
    <row r="566" customFormat="false" ht="15.75" hidden="false" customHeight="true" outlineLevel="0" collapsed="false">
      <c r="A566" s="1" t="s">
        <v>641</v>
      </c>
      <c r="B566" s="1" t="s">
        <v>12</v>
      </c>
      <c r="C566" s="1" t="s">
        <v>13</v>
      </c>
      <c r="D566" s="1" t="s">
        <v>14</v>
      </c>
      <c r="E566" s="1" t="n">
        <v>565</v>
      </c>
      <c r="F566" s="1" t="n">
        <v>567</v>
      </c>
      <c r="G566" s="1" t="n">
        <v>43</v>
      </c>
      <c r="H566" s="1" t="n">
        <v>95.8</v>
      </c>
      <c r="I566" s="1" t="n">
        <v>290</v>
      </c>
    </row>
    <row r="567" customFormat="false" ht="15.75" hidden="false" customHeight="true" outlineLevel="0" collapsed="false">
      <c r="A567" s="1" t="s">
        <v>642</v>
      </c>
      <c r="B567" s="1" t="s">
        <v>23</v>
      </c>
      <c r="C567" s="1" t="s">
        <v>13</v>
      </c>
      <c r="D567" s="1" t="s">
        <v>14</v>
      </c>
      <c r="E567" s="1" t="n">
        <v>1200</v>
      </c>
      <c r="F567" s="1" t="n">
        <v>1202</v>
      </c>
      <c r="G567" s="1" t="n">
        <v>87.4</v>
      </c>
      <c r="H567" s="1" t="n">
        <v>109.6</v>
      </c>
      <c r="I567" s="1" t="n">
        <v>148</v>
      </c>
    </row>
    <row r="568" customFormat="false" ht="15.75" hidden="false" customHeight="true" outlineLevel="0" collapsed="false">
      <c r="A568" s="1" t="s">
        <v>643</v>
      </c>
      <c r="B568" s="1" t="s">
        <v>12</v>
      </c>
      <c r="C568" s="1" t="s">
        <v>13</v>
      </c>
      <c r="D568" s="1" t="s">
        <v>14</v>
      </c>
      <c r="E568" s="1" t="n">
        <v>549</v>
      </c>
      <c r="F568" s="1" t="n">
        <v>551</v>
      </c>
      <c r="G568" s="1" t="n">
        <v>53</v>
      </c>
      <c r="H568" s="1" t="n">
        <v>90.5</v>
      </c>
      <c r="I568" s="1" t="n">
        <v>227</v>
      </c>
    </row>
    <row r="569" customFormat="false" ht="15.75" hidden="false" customHeight="true" outlineLevel="0" collapsed="false">
      <c r="A569" s="1" t="s">
        <v>644</v>
      </c>
      <c r="B569" s="1" t="s">
        <v>645</v>
      </c>
      <c r="C569" s="1" t="s">
        <v>97</v>
      </c>
      <c r="D569" s="1" t="s">
        <v>58</v>
      </c>
      <c r="E569" s="1" t="n">
        <v>517</v>
      </c>
      <c r="F569" s="1" t="n">
        <v>537</v>
      </c>
      <c r="G569" s="1" t="n">
        <v>97.5</v>
      </c>
      <c r="H569" s="1" t="n">
        <v>95.1</v>
      </c>
      <c r="I569" s="1" t="n">
        <v>2</v>
      </c>
    </row>
    <row r="570" customFormat="false" ht="15.75" hidden="false" customHeight="true" outlineLevel="0" collapsed="false">
      <c r="A570" s="1" t="s">
        <v>646</v>
      </c>
      <c r="B570" s="1" t="s">
        <v>12</v>
      </c>
      <c r="C570" s="1" t="s">
        <v>21</v>
      </c>
      <c r="D570" s="1" t="s">
        <v>58</v>
      </c>
      <c r="E570" s="1" t="n">
        <v>379</v>
      </c>
      <c r="F570" s="1" t="n">
        <v>398</v>
      </c>
      <c r="G570" s="1" t="n">
        <v>45</v>
      </c>
      <c r="H570" s="1" t="n">
        <v>92.3</v>
      </c>
      <c r="I570" s="1" t="n">
        <v>4990</v>
      </c>
    </row>
    <row r="571" customFormat="false" ht="15.75" hidden="false" customHeight="true" outlineLevel="0" collapsed="false">
      <c r="A571" s="1" t="s">
        <v>647</v>
      </c>
      <c r="B571" s="1" t="s">
        <v>12</v>
      </c>
      <c r="C571" s="1" t="s">
        <v>13</v>
      </c>
      <c r="D571" s="1" t="s">
        <v>14</v>
      </c>
      <c r="E571" s="1" t="n">
        <v>556</v>
      </c>
      <c r="F571" s="1" t="n">
        <v>560</v>
      </c>
      <c r="G571" s="1" t="n">
        <v>97.6</v>
      </c>
      <c r="H571" s="1" t="n">
        <v>95.8</v>
      </c>
      <c r="I571" s="1" t="n">
        <v>260</v>
      </c>
    </row>
    <row r="572" customFormat="false" ht="15.75" hidden="false" customHeight="true" outlineLevel="0" collapsed="false">
      <c r="A572" s="1" t="s">
        <v>648</v>
      </c>
      <c r="B572" s="1" t="s">
        <v>23</v>
      </c>
      <c r="C572" s="1" t="s">
        <v>13</v>
      </c>
      <c r="D572" s="1" t="s">
        <v>14</v>
      </c>
      <c r="E572" s="1" t="n">
        <v>1200</v>
      </c>
      <c r="F572" s="1" t="n">
        <v>1202</v>
      </c>
      <c r="G572" s="1" t="n">
        <v>87.4</v>
      </c>
      <c r="H572" s="1" t="n">
        <v>96.3</v>
      </c>
      <c r="I572" s="1" t="n">
        <v>148</v>
      </c>
    </row>
    <row r="573" customFormat="false" ht="15.75" hidden="false" customHeight="true" outlineLevel="0" collapsed="false">
      <c r="A573" s="1" t="s">
        <v>649</v>
      </c>
      <c r="B573" s="1" t="s">
        <v>12</v>
      </c>
      <c r="C573" s="1" t="s">
        <v>13</v>
      </c>
      <c r="D573" s="1" t="s">
        <v>14</v>
      </c>
      <c r="E573" s="1" t="n">
        <v>358</v>
      </c>
      <c r="F573" s="1" t="n">
        <v>362</v>
      </c>
      <c r="G573" s="1" t="n">
        <v>70</v>
      </c>
      <c r="H573" s="1" t="n">
        <v>91.8</v>
      </c>
      <c r="I573" s="1" t="n">
        <v>260</v>
      </c>
    </row>
    <row r="574" customFormat="false" ht="15.75" hidden="false" customHeight="true" outlineLevel="0" collapsed="false">
      <c r="A574" s="1" t="s">
        <v>650</v>
      </c>
      <c r="B574" s="1" t="s">
        <v>12</v>
      </c>
      <c r="C574" s="1" t="s">
        <v>13</v>
      </c>
      <c r="D574" s="1" t="s">
        <v>14</v>
      </c>
      <c r="E574" s="1" t="n">
        <v>35786</v>
      </c>
      <c r="F574" s="1" t="n">
        <v>35786</v>
      </c>
      <c r="G574" s="1" t="n">
        <v>0.03</v>
      </c>
      <c r="H574" s="1" t="n">
        <v>1436.1</v>
      </c>
      <c r="I574" s="1" t="n">
        <v>5900</v>
      </c>
    </row>
    <row r="575" customFormat="false" ht="15.75" hidden="false" customHeight="true" outlineLevel="0" collapsed="false">
      <c r="A575" s="1" t="s">
        <v>651</v>
      </c>
      <c r="B575" s="1" t="s">
        <v>12</v>
      </c>
      <c r="C575" s="1" t="s">
        <v>13</v>
      </c>
      <c r="D575" s="1" t="s">
        <v>14</v>
      </c>
      <c r="E575" s="1" t="n">
        <v>348</v>
      </c>
      <c r="F575" s="1" t="n">
        <v>351</v>
      </c>
      <c r="G575" s="1" t="n">
        <v>53.2</v>
      </c>
      <c r="H575" s="1" t="n">
        <v>91.5</v>
      </c>
      <c r="I575" s="1" t="n">
        <v>260</v>
      </c>
    </row>
    <row r="576" customFormat="false" ht="15.75" hidden="false" customHeight="true" outlineLevel="0" collapsed="false">
      <c r="A576" s="1" t="s">
        <v>652</v>
      </c>
      <c r="B576" s="1" t="s">
        <v>23</v>
      </c>
      <c r="C576" s="1" t="s">
        <v>13</v>
      </c>
      <c r="D576" s="1" t="s">
        <v>14</v>
      </c>
      <c r="E576" s="1" t="n">
        <v>590</v>
      </c>
      <c r="F576" s="1" t="n">
        <v>600</v>
      </c>
      <c r="G576" s="1" t="n">
        <v>87.4</v>
      </c>
      <c r="H576" s="1" t="n">
        <v>96.4</v>
      </c>
      <c r="I576" s="1" t="n">
        <v>148</v>
      </c>
    </row>
    <row r="577" customFormat="false" ht="15.75" hidden="false" customHeight="true" outlineLevel="0" collapsed="false">
      <c r="A577" s="1" t="s">
        <v>653</v>
      </c>
      <c r="B577" s="1" t="s">
        <v>12</v>
      </c>
      <c r="C577" s="1" t="s">
        <v>47</v>
      </c>
      <c r="D577" s="1" t="s">
        <v>48</v>
      </c>
      <c r="E577" s="1" t="n">
        <v>20206</v>
      </c>
      <c r="F577" s="1" t="n">
        <v>20366</v>
      </c>
      <c r="G577" s="1" t="n">
        <v>55.02</v>
      </c>
      <c r="H577" s="1" t="n">
        <v>722.19</v>
      </c>
      <c r="I577" s="1" t="n">
        <v>2060</v>
      </c>
    </row>
    <row r="578" customFormat="false" ht="15.75" hidden="false" customHeight="true" outlineLevel="0" collapsed="false">
      <c r="A578" s="1" t="s">
        <v>654</v>
      </c>
      <c r="B578" s="1" t="s">
        <v>20</v>
      </c>
      <c r="C578" s="1" t="s">
        <v>21</v>
      </c>
      <c r="D578" s="1" t="s">
        <v>306</v>
      </c>
      <c r="E578" s="1" t="n">
        <v>935</v>
      </c>
      <c r="F578" s="1" t="n">
        <v>963</v>
      </c>
      <c r="G578" s="1" t="n">
        <v>99.27</v>
      </c>
      <c r="H578" s="1" t="n">
        <v>104.03</v>
      </c>
      <c r="I578" s="1" t="n">
        <v>900</v>
      </c>
    </row>
    <row r="579" customFormat="false" ht="15.75" hidden="false" customHeight="true" outlineLevel="0" collapsed="false">
      <c r="A579" s="1" t="s">
        <v>655</v>
      </c>
      <c r="B579" s="1" t="s">
        <v>12</v>
      </c>
      <c r="C579" s="1" t="s">
        <v>13</v>
      </c>
      <c r="D579" s="1" t="s">
        <v>14</v>
      </c>
      <c r="E579" s="1" t="n">
        <v>35778</v>
      </c>
      <c r="F579" s="1" t="n">
        <v>35793</v>
      </c>
      <c r="G579" s="1" t="n">
        <v>0.03</v>
      </c>
      <c r="H579" s="1" t="n">
        <v>1436.1</v>
      </c>
      <c r="I579" s="1" t="n">
        <v>5500</v>
      </c>
    </row>
    <row r="580" customFormat="false" ht="15.75" hidden="false" customHeight="true" outlineLevel="0" collapsed="false">
      <c r="A580" s="1" t="s">
        <v>656</v>
      </c>
      <c r="B580" s="1" t="s">
        <v>12</v>
      </c>
      <c r="C580" s="1" t="s">
        <v>13</v>
      </c>
      <c r="D580" s="1" t="s">
        <v>14</v>
      </c>
      <c r="E580" s="1" t="n">
        <v>549</v>
      </c>
      <c r="F580" s="1" t="n">
        <v>551</v>
      </c>
      <c r="G580" s="1" t="n">
        <v>53</v>
      </c>
      <c r="H580" s="1" t="n">
        <v>95.6</v>
      </c>
      <c r="I580" s="1" t="n">
        <v>227</v>
      </c>
    </row>
    <row r="581" customFormat="false" ht="15.75" hidden="false" customHeight="true" outlineLevel="0" collapsed="false">
      <c r="A581" s="1" t="s">
        <v>657</v>
      </c>
      <c r="B581" s="1" t="s">
        <v>271</v>
      </c>
      <c r="C581" s="1" t="s">
        <v>37</v>
      </c>
      <c r="D581" s="1" t="s">
        <v>58</v>
      </c>
      <c r="E581" s="1" t="n">
        <v>476</v>
      </c>
      <c r="F581" s="1" t="n">
        <v>500</v>
      </c>
      <c r="G581" s="1" t="n">
        <v>97.5</v>
      </c>
      <c r="H581" s="1" t="n">
        <v>95</v>
      </c>
      <c r="I581" s="1" t="n">
        <v>4</v>
      </c>
    </row>
    <row r="582" customFormat="false" ht="15.75" hidden="false" customHeight="true" outlineLevel="0" collapsed="false">
      <c r="A582" s="1" t="s">
        <v>658</v>
      </c>
      <c r="B582" s="1" t="s">
        <v>12</v>
      </c>
      <c r="C582" s="1" t="s">
        <v>13</v>
      </c>
      <c r="D582" s="1" t="s">
        <v>14</v>
      </c>
      <c r="E582" s="1" t="n">
        <v>548</v>
      </c>
      <c r="F582" s="1" t="n">
        <v>561</v>
      </c>
      <c r="G582" s="1" t="n">
        <v>53</v>
      </c>
      <c r="H582" s="1" t="n">
        <v>95.6</v>
      </c>
      <c r="I582" s="1" t="n">
        <v>260</v>
      </c>
    </row>
    <row r="583" customFormat="false" ht="15.75" hidden="false" customHeight="true" outlineLevel="0" collapsed="false">
      <c r="A583" s="1" t="s">
        <v>659</v>
      </c>
      <c r="B583" s="1" t="s">
        <v>52</v>
      </c>
      <c r="C583" s="1" t="s">
        <v>37</v>
      </c>
      <c r="D583" s="1" t="s">
        <v>18</v>
      </c>
      <c r="E583" s="1" t="n">
        <v>1090</v>
      </c>
      <c r="F583" s="1" t="n">
        <v>1098</v>
      </c>
      <c r="G583" s="1" t="n">
        <v>50</v>
      </c>
      <c r="H583" s="1" t="n">
        <v>107.1</v>
      </c>
    </row>
    <row r="584" customFormat="false" ht="15.75" hidden="false" customHeight="true" outlineLevel="0" collapsed="false">
      <c r="A584" s="1" t="s">
        <v>660</v>
      </c>
      <c r="B584" s="1" t="s">
        <v>20</v>
      </c>
      <c r="C584" s="1" t="s">
        <v>21</v>
      </c>
      <c r="D584" s="1" t="s">
        <v>14</v>
      </c>
      <c r="E584" s="1" t="n">
        <v>1498</v>
      </c>
      <c r="F584" s="1" t="n">
        <v>1508</v>
      </c>
      <c r="G584" s="1" t="n">
        <v>82.49</v>
      </c>
      <c r="H584" s="1" t="n">
        <v>116.04</v>
      </c>
      <c r="I584" s="1" t="n">
        <v>280</v>
      </c>
    </row>
    <row r="585" customFormat="false" ht="15.75" hidden="false" customHeight="true" outlineLevel="0" collapsed="false">
      <c r="A585" s="1" t="s">
        <v>661</v>
      </c>
      <c r="B585" s="1" t="s">
        <v>12</v>
      </c>
      <c r="C585" s="1" t="s">
        <v>13</v>
      </c>
      <c r="D585" s="1" t="s">
        <v>14</v>
      </c>
      <c r="E585" s="1" t="n">
        <v>539</v>
      </c>
      <c r="F585" s="1" t="n">
        <v>541</v>
      </c>
      <c r="G585" s="1" t="n">
        <v>53</v>
      </c>
      <c r="H585" s="1" t="n">
        <v>95.4</v>
      </c>
      <c r="I585" s="1" t="n">
        <v>260</v>
      </c>
    </row>
    <row r="586" customFormat="false" ht="15.75" hidden="false" customHeight="true" outlineLevel="0" collapsed="false">
      <c r="A586" s="1" t="s">
        <v>662</v>
      </c>
      <c r="B586" s="1" t="s">
        <v>12</v>
      </c>
      <c r="C586" s="1" t="s">
        <v>13</v>
      </c>
      <c r="D586" s="1" t="s">
        <v>14</v>
      </c>
      <c r="E586" s="1" t="n">
        <v>538</v>
      </c>
      <c r="F586" s="1" t="n">
        <v>541</v>
      </c>
      <c r="G586" s="1" t="n">
        <v>53.2</v>
      </c>
      <c r="H586" s="1" t="n">
        <v>95.4</v>
      </c>
      <c r="I586" s="1" t="n">
        <v>260</v>
      </c>
    </row>
    <row r="587" customFormat="false" ht="15.75" hidden="false" customHeight="true" outlineLevel="0" collapsed="false">
      <c r="A587" s="1" t="s">
        <v>663</v>
      </c>
      <c r="B587" s="1" t="s">
        <v>186</v>
      </c>
      <c r="C587" s="1" t="s">
        <v>13</v>
      </c>
      <c r="D587" s="1" t="s">
        <v>14</v>
      </c>
      <c r="E587" s="1" t="n">
        <v>35774</v>
      </c>
      <c r="F587" s="1" t="n">
        <v>35801</v>
      </c>
      <c r="G587" s="1" t="n">
        <v>0.04</v>
      </c>
      <c r="H587" s="1" t="n">
        <v>1436.13</v>
      </c>
      <c r="I587" s="1" t="n">
        <v>4010</v>
      </c>
    </row>
    <row r="588" customFormat="false" ht="15.75" hidden="false" customHeight="true" outlineLevel="0" collapsed="false">
      <c r="A588" s="1" t="s">
        <v>664</v>
      </c>
      <c r="B588" s="1" t="s">
        <v>12</v>
      </c>
      <c r="C588" s="1" t="s">
        <v>13</v>
      </c>
      <c r="D588" s="1" t="s">
        <v>18</v>
      </c>
      <c r="E588" s="1" t="n">
        <v>476</v>
      </c>
      <c r="F588" s="1" t="n">
        <v>500</v>
      </c>
      <c r="G588" s="1" t="n">
        <v>97.5</v>
      </c>
      <c r="H588" s="1" t="n">
        <v>94.6</v>
      </c>
      <c r="I588" s="1" t="n">
        <v>4</v>
      </c>
    </row>
    <row r="589" customFormat="false" ht="15.75" hidden="false" customHeight="true" outlineLevel="0" collapsed="false">
      <c r="A589" s="1" t="s">
        <v>665</v>
      </c>
      <c r="B589" s="1" t="s">
        <v>17</v>
      </c>
      <c r="C589" s="1" t="s">
        <v>97</v>
      </c>
      <c r="D589" s="1" t="s">
        <v>161</v>
      </c>
      <c r="E589" s="1" t="n">
        <v>523</v>
      </c>
      <c r="F589" s="1" t="n">
        <v>535</v>
      </c>
      <c r="G589" s="1" t="n">
        <v>97.5</v>
      </c>
      <c r="H589" s="1" t="n">
        <v>95.2</v>
      </c>
      <c r="I589" s="1" t="n">
        <v>1</v>
      </c>
    </row>
    <row r="590" customFormat="false" ht="15.75" hidden="false" customHeight="true" outlineLevel="0" collapsed="false">
      <c r="A590" s="1" t="s">
        <v>666</v>
      </c>
      <c r="B590" s="1" t="s">
        <v>52</v>
      </c>
      <c r="C590" s="1" t="s">
        <v>354</v>
      </c>
      <c r="D590" s="1" t="s">
        <v>48</v>
      </c>
      <c r="E590" s="1" t="n">
        <v>21537</v>
      </c>
      <c r="F590" s="1" t="n">
        <v>22195</v>
      </c>
      <c r="G590" s="1" t="n">
        <v>55</v>
      </c>
      <c r="H590" s="1" t="n">
        <v>787.4</v>
      </c>
      <c r="I590" s="1" t="n">
        <v>800</v>
      </c>
    </row>
    <row r="591" customFormat="false" ht="15.75" hidden="false" customHeight="true" outlineLevel="0" collapsed="false">
      <c r="A591" s="1" t="s">
        <v>667</v>
      </c>
      <c r="B591" s="1" t="s">
        <v>52</v>
      </c>
      <c r="C591" s="1" t="s">
        <v>97</v>
      </c>
      <c r="D591" s="1" t="s">
        <v>161</v>
      </c>
      <c r="E591" s="1" t="n">
        <v>502</v>
      </c>
      <c r="F591" s="1" t="n">
        <v>523</v>
      </c>
      <c r="G591" s="1" t="n">
        <v>97.5</v>
      </c>
      <c r="H591" s="1" t="n">
        <v>95.3</v>
      </c>
      <c r="I591" s="1" t="n">
        <v>10</v>
      </c>
    </row>
    <row r="592" customFormat="false" ht="15.75" hidden="false" customHeight="true" outlineLevel="0" collapsed="false">
      <c r="A592" s="1" t="s">
        <v>668</v>
      </c>
      <c r="B592" s="1" t="s">
        <v>23</v>
      </c>
      <c r="C592" s="1" t="s">
        <v>13</v>
      </c>
      <c r="D592" s="1" t="s">
        <v>14</v>
      </c>
      <c r="E592" s="1" t="n">
        <v>7827</v>
      </c>
      <c r="F592" s="1" t="n">
        <v>7844</v>
      </c>
      <c r="G592" s="1" t="n">
        <v>0.12</v>
      </c>
      <c r="H592" s="1" t="n">
        <v>281.08</v>
      </c>
      <c r="I592" s="1" t="n">
        <v>650</v>
      </c>
    </row>
    <row r="593" customFormat="false" ht="15.75" hidden="false" customHeight="true" outlineLevel="0" collapsed="false">
      <c r="A593" s="1" t="s">
        <v>669</v>
      </c>
      <c r="B593" s="1" t="s">
        <v>12</v>
      </c>
      <c r="C593" s="1" t="s">
        <v>13</v>
      </c>
      <c r="D593" s="1" t="s">
        <v>14</v>
      </c>
      <c r="E593" s="1" t="n">
        <v>577</v>
      </c>
      <c r="F593" s="1" t="n">
        <v>581</v>
      </c>
      <c r="G593" s="1" t="n">
        <v>70</v>
      </c>
      <c r="H593" s="1" t="n">
        <v>96.1</v>
      </c>
      <c r="I593" s="1" t="n">
        <v>290</v>
      </c>
    </row>
    <row r="594" customFormat="false" ht="15.75" hidden="false" customHeight="true" outlineLevel="0" collapsed="false">
      <c r="A594" s="1" t="s">
        <v>670</v>
      </c>
      <c r="B594" s="1" t="s">
        <v>52</v>
      </c>
      <c r="C594" s="1" t="s">
        <v>37</v>
      </c>
      <c r="D594" s="1" t="s">
        <v>18</v>
      </c>
      <c r="E594" s="1" t="n">
        <v>496</v>
      </c>
      <c r="F594" s="1" t="n">
        <v>506</v>
      </c>
      <c r="G594" s="1" t="n">
        <v>97.4</v>
      </c>
      <c r="H594" s="1" t="n">
        <v>94.8</v>
      </c>
      <c r="I594" s="1" t="n">
        <v>1000</v>
      </c>
    </row>
    <row r="595" customFormat="false" ht="15.75" hidden="false" customHeight="true" outlineLevel="0" collapsed="false">
      <c r="A595" s="1" t="s">
        <v>671</v>
      </c>
      <c r="B595" s="1" t="s">
        <v>52</v>
      </c>
      <c r="C595" s="1" t="s">
        <v>37</v>
      </c>
      <c r="D595" s="1" t="s">
        <v>58</v>
      </c>
      <c r="E595" s="1" t="n">
        <v>688</v>
      </c>
      <c r="F595" s="1" t="n">
        <v>703</v>
      </c>
      <c r="G595" s="1" t="n">
        <v>98.2</v>
      </c>
      <c r="H595" s="1" t="n">
        <v>98.7</v>
      </c>
    </row>
    <row r="596" customFormat="false" ht="15.75" hidden="false" customHeight="true" outlineLevel="0" collapsed="false">
      <c r="A596" s="1" t="s">
        <v>672</v>
      </c>
      <c r="B596" s="1" t="s">
        <v>23</v>
      </c>
      <c r="C596" s="1" t="s">
        <v>13</v>
      </c>
      <c r="D596" s="1" t="s">
        <v>14</v>
      </c>
      <c r="E596" s="1" t="n">
        <v>590</v>
      </c>
      <c r="F596" s="1" t="n">
        <v>600</v>
      </c>
      <c r="G596" s="1" t="n">
        <v>87.4</v>
      </c>
      <c r="H596" s="1" t="n">
        <v>96.75</v>
      </c>
      <c r="I596" s="1" t="n">
        <v>148</v>
      </c>
    </row>
    <row r="597" customFormat="false" ht="15.75" hidden="false" customHeight="true" outlineLevel="0" collapsed="false">
      <c r="A597" s="1" t="s">
        <v>673</v>
      </c>
      <c r="B597" s="1" t="s">
        <v>12</v>
      </c>
      <c r="C597" s="1" t="s">
        <v>13</v>
      </c>
      <c r="D597" s="1" t="s">
        <v>14</v>
      </c>
      <c r="E597" s="1" t="n">
        <v>549</v>
      </c>
      <c r="F597" s="1" t="n">
        <v>551</v>
      </c>
      <c r="G597" s="1" t="n">
        <v>53</v>
      </c>
      <c r="H597" s="1" t="n">
        <v>92.1</v>
      </c>
      <c r="I597" s="1" t="n">
        <v>227</v>
      </c>
    </row>
    <row r="598" customFormat="false" ht="15.75" hidden="false" customHeight="true" outlineLevel="0" collapsed="false">
      <c r="A598" s="1" t="s">
        <v>674</v>
      </c>
      <c r="B598" s="1" t="s">
        <v>12</v>
      </c>
      <c r="C598" s="1" t="s">
        <v>13</v>
      </c>
      <c r="D598" s="1" t="s">
        <v>14</v>
      </c>
      <c r="E598" s="1" t="n">
        <v>538</v>
      </c>
      <c r="F598" s="1" t="n">
        <v>541</v>
      </c>
      <c r="G598" s="1" t="n">
        <v>53.2</v>
      </c>
      <c r="H598" s="1" t="n">
        <v>95.4</v>
      </c>
      <c r="I598" s="1" t="n">
        <v>260</v>
      </c>
    </row>
    <row r="599" customFormat="false" ht="15.75" hidden="false" customHeight="true" outlineLevel="0" collapsed="false">
      <c r="A599" s="1" t="s">
        <v>675</v>
      </c>
      <c r="B599" s="1" t="s">
        <v>12</v>
      </c>
      <c r="C599" s="1" t="s">
        <v>13</v>
      </c>
      <c r="D599" s="1" t="s">
        <v>14</v>
      </c>
      <c r="E599" s="1" t="n">
        <v>549</v>
      </c>
      <c r="F599" s="1" t="n">
        <v>551</v>
      </c>
      <c r="G599" s="1" t="n">
        <v>53</v>
      </c>
      <c r="H599" s="1" t="n">
        <v>90.3</v>
      </c>
      <c r="I599" s="1" t="n">
        <v>227</v>
      </c>
    </row>
    <row r="600" customFormat="false" ht="15.75" hidden="false" customHeight="true" outlineLevel="0" collapsed="false">
      <c r="A600" s="1" t="s">
        <v>676</v>
      </c>
      <c r="B600" s="1" t="s">
        <v>12</v>
      </c>
      <c r="C600" s="1" t="s">
        <v>13</v>
      </c>
      <c r="D600" s="1" t="s">
        <v>14</v>
      </c>
      <c r="E600" s="1" t="n">
        <v>539</v>
      </c>
      <c r="F600" s="1" t="n">
        <v>541</v>
      </c>
      <c r="G600" s="1" t="n">
        <v>53</v>
      </c>
      <c r="H600" s="1" t="n">
        <v>95.4</v>
      </c>
      <c r="I600" s="1" t="n">
        <v>260</v>
      </c>
    </row>
    <row r="601" customFormat="false" ht="15.75" hidden="false" customHeight="true" outlineLevel="0" collapsed="false">
      <c r="A601" s="1" t="s">
        <v>677</v>
      </c>
      <c r="B601" s="1" t="s">
        <v>12</v>
      </c>
      <c r="C601" s="1" t="s">
        <v>13</v>
      </c>
      <c r="D601" s="1" t="s">
        <v>14</v>
      </c>
      <c r="E601" s="1" t="n">
        <v>348</v>
      </c>
      <c r="F601" s="1" t="n">
        <v>351</v>
      </c>
      <c r="G601" s="1" t="n">
        <v>53.2</v>
      </c>
      <c r="H601" s="1" t="n">
        <v>91.5</v>
      </c>
      <c r="I601" s="1" t="n">
        <v>260</v>
      </c>
    </row>
    <row r="602" customFormat="false" ht="15.75" hidden="false" customHeight="true" outlineLevel="0" collapsed="false">
      <c r="A602" s="1" t="s">
        <v>678</v>
      </c>
      <c r="B602" s="1" t="s">
        <v>12</v>
      </c>
      <c r="C602" s="1" t="s">
        <v>13</v>
      </c>
      <c r="D602" s="1" t="s">
        <v>18</v>
      </c>
      <c r="E602" s="1" t="n">
        <v>635</v>
      </c>
      <c r="F602" s="1" t="n">
        <v>649</v>
      </c>
      <c r="G602" s="1" t="n">
        <v>6</v>
      </c>
      <c r="H602" s="1" t="n">
        <v>97.57</v>
      </c>
      <c r="I602" s="1" t="n">
        <v>10</v>
      </c>
    </row>
    <row r="603" customFormat="false" ht="15.75" hidden="false" customHeight="true" outlineLevel="0" collapsed="false">
      <c r="A603" s="1" t="s">
        <v>679</v>
      </c>
      <c r="B603" s="1" t="s">
        <v>12</v>
      </c>
      <c r="C603" s="1" t="s">
        <v>13</v>
      </c>
      <c r="D603" s="1" t="s">
        <v>14</v>
      </c>
      <c r="E603" s="1" t="n">
        <v>564</v>
      </c>
      <c r="F603" s="1" t="n">
        <v>567</v>
      </c>
      <c r="G603" s="1" t="n">
        <v>43</v>
      </c>
      <c r="H603" s="1" t="n">
        <v>95.8</v>
      </c>
      <c r="I603" s="1" t="n">
        <v>290</v>
      </c>
    </row>
    <row r="604" customFormat="false" ht="15.75" hidden="false" customHeight="true" outlineLevel="0" collapsed="false">
      <c r="A604" s="1" t="s">
        <v>680</v>
      </c>
      <c r="B604" s="1" t="s">
        <v>12</v>
      </c>
      <c r="C604" s="1" t="s">
        <v>21</v>
      </c>
      <c r="D604" s="1" t="s">
        <v>14</v>
      </c>
      <c r="E604" s="1" t="n">
        <v>35736</v>
      </c>
      <c r="F604" s="1" t="n">
        <v>35854</v>
      </c>
      <c r="G604" s="1" t="n">
        <v>0.04</v>
      </c>
      <c r="H604" s="1" t="n">
        <v>1436.5</v>
      </c>
    </row>
    <row r="605" customFormat="false" ht="15.75" hidden="false" customHeight="true" outlineLevel="0" collapsed="false">
      <c r="A605" s="1" t="s">
        <v>681</v>
      </c>
      <c r="B605" s="1" t="s">
        <v>63</v>
      </c>
      <c r="C605" s="1" t="s">
        <v>13</v>
      </c>
      <c r="D605" s="1" t="s">
        <v>14</v>
      </c>
      <c r="E605" s="1" t="n">
        <v>35788</v>
      </c>
      <c r="F605" s="1" t="n">
        <v>35794</v>
      </c>
      <c r="G605" s="1" t="n">
        <v>0.07</v>
      </c>
      <c r="H605" s="1" t="n">
        <v>1436.1</v>
      </c>
      <c r="I605" s="1" t="n">
        <v>2950</v>
      </c>
    </row>
    <row r="606" customFormat="false" ht="15.75" hidden="false" customHeight="true" outlineLevel="0" collapsed="false">
      <c r="A606" s="1" t="s">
        <v>682</v>
      </c>
      <c r="B606" s="1" t="s">
        <v>683</v>
      </c>
      <c r="C606" s="1" t="s">
        <v>13</v>
      </c>
      <c r="D606" s="1" t="s">
        <v>14</v>
      </c>
      <c r="E606" s="1" t="n">
        <v>35777</v>
      </c>
      <c r="F606" s="1" t="n">
        <v>35796</v>
      </c>
      <c r="G606" s="1" t="n">
        <v>0</v>
      </c>
      <c r="H606" s="1" t="n">
        <v>1436</v>
      </c>
      <c r="I606" s="1" t="n">
        <v>3795</v>
      </c>
    </row>
    <row r="607" customFormat="false" ht="15.75" hidden="false" customHeight="true" outlineLevel="0" collapsed="false">
      <c r="A607" s="1" t="s">
        <v>684</v>
      </c>
      <c r="B607" s="1" t="s">
        <v>52</v>
      </c>
      <c r="C607" s="1" t="s">
        <v>354</v>
      </c>
      <c r="D607" s="1" t="s">
        <v>48</v>
      </c>
      <c r="E607" s="1" t="n">
        <v>35776</v>
      </c>
      <c r="F607" s="1" t="n">
        <v>35794</v>
      </c>
      <c r="G607" s="1" t="n">
        <v>1.84</v>
      </c>
      <c r="H607" s="1" t="n">
        <v>1436.1</v>
      </c>
      <c r="I607" s="1" t="n">
        <v>3800</v>
      </c>
    </row>
    <row r="608" customFormat="false" ht="15.75" hidden="false" customHeight="true" outlineLevel="0" collapsed="false">
      <c r="A608" s="1" t="s">
        <v>685</v>
      </c>
      <c r="B608" s="1" t="s">
        <v>12</v>
      </c>
      <c r="C608" s="1" t="s">
        <v>13</v>
      </c>
      <c r="D608" s="1" t="s">
        <v>14</v>
      </c>
      <c r="E608" s="1" t="n">
        <v>539</v>
      </c>
      <c r="F608" s="1" t="n">
        <v>541</v>
      </c>
      <c r="G608" s="1" t="n">
        <v>53.2</v>
      </c>
      <c r="H608" s="1" t="n">
        <v>95.4</v>
      </c>
      <c r="I608" s="1" t="n">
        <v>260</v>
      </c>
    </row>
    <row r="609" customFormat="false" ht="15.75" hidden="false" customHeight="true" outlineLevel="0" collapsed="false">
      <c r="A609" s="1" t="s">
        <v>686</v>
      </c>
      <c r="B609" s="1" t="s">
        <v>587</v>
      </c>
      <c r="C609" s="1" t="s">
        <v>37</v>
      </c>
      <c r="D609" s="1" t="s">
        <v>18</v>
      </c>
      <c r="E609" s="1" t="n">
        <v>623</v>
      </c>
      <c r="F609" s="1" t="n">
        <v>625</v>
      </c>
      <c r="G609" s="1" t="n">
        <v>97.9</v>
      </c>
      <c r="H609" s="1" t="n">
        <v>97</v>
      </c>
      <c r="I609" s="1" t="n">
        <v>550</v>
      </c>
    </row>
    <row r="610" customFormat="false" ht="15.75" hidden="false" customHeight="true" outlineLevel="0" collapsed="false">
      <c r="A610" s="1" t="s">
        <v>687</v>
      </c>
      <c r="B610" s="1" t="s">
        <v>23</v>
      </c>
      <c r="C610" s="1" t="s">
        <v>21</v>
      </c>
      <c r="D610" s="1" t="s">
        <v>14</v>
      </c>
      <c r="E610" s="1" t="n">
        <v>35774</v>
      </c>
      <c r="F610" s="1" t="n">
        <v>35797</v>
      </c>
      <c r="G610" s="1" t="n">
        <v>4.99</v>
      </c>
      <c r="H610" s="1" t="n">
        <v>1436.06</v>
      </c>
      <c r="I610" s="1" t="n">
        <v>1510</v>
      </c>
    </row>
    <row r="611" customFormat="false" ht="15.75" hidden="false" customHeight="true" outlineLevel="0" collapsed="false">
      <c r="A611" s="1" t="s">
        <v>688</v>
      </c>
      <c r="B611" s="1" t="s">
        <v>12</v>
      </c>
      <c r="C611" s="1" t="s">
        <v>13</v>
      </c>
      <c r="D611" s="1" t="s">
        <v>14</v>
      </c>
      <c r="E611" s="1" t="n">
        <v>348</v>
      </c>
      <c r="F611" s="1" t="n">
        <v>351</v>
      </c>
      <c r="G611" s="1" t="n">
        <v>53.2</v>
      </c>
      <c r="H611" s="1" t="n">
        <v>91.5</v>
      </c>
      <c r="I611" s="1" t="n">
        <v>260</v>
      </c>
    </row>
    <row r="612" customFormat="false" ht="15.75" hidden="false" customHeight="true" outlineLevel="0" collapsed="false">
      <c r="A612" s="1" t="s">
        <v>689</v>
      </c>
      <c r="B612" s="1" t="s">
        <v>96</v>
      </c>
      <c r="C612" s="1" t="s">
        <v>97</v>
      </c>
      <c r="D612" s="1" t="s">
        <v>58</v>
      </c>
      <c r="E612" s="1" t="n">
        <v>571</v>
      </c>
      <c r="F612" s="1" t="n">
        <v>588</v>
      </c>
      <c r="G612" s="1" t="n">
        <v>97.7</v>
      </c>
      <c r="H612" s="1" t="n">
        <v>96.2</v>
      </c>
      <c r="I612" s="1" t="n">
        <v>9</v>
      </c>
    </row>
    <row r="613" customFormat="false" ht="15.75" hidden="false" customHeight="true" outlineLevel="0" collapsed="false">
      <c r="A613" s="1" t="s">
        <v>690</v>
      </c>
      <c r="B613" s="1" t="s">
        <v>12</v>
      </c>
      <c r="C613" s="1" t="s">
        <v>13</v>
      </c>
      <c r="D613" s="1" t="s">
        <v>14</v>
      </c>
      <c r="E613" s="1" t="n">
        <v>348</v>
      </c>
      <c r="F613" s="1" t="n">
        <v>351</v>
      </c>
      <c r="G613" s="1" t="n">
        <v>53.2</v>
      </c>
      <c r="H613" s="1" t="n">
        <v>91.5</v>
      </c>
      <c r="I613" s="1" t="n">
        <v>260</v>
      </c>
    </row>
    <row r="614" customFormat="false" ht="15.75" hidden="false" customHeight="true" outlineLevel="0" collapsed="false">
      <c r="A614" s="1" t="s">
        <v>691</v>
      </c>
      <c r="B614" s="1" t="s">
        <v>12</v>
      </c>
      <c r="C614" s="1" t="s">
        <v>13</v>
      </c>
      <c r="D614" s="1" t="s">
        <v>14</v>
      </c>
      <c r="E614" s="1" t="n">
        <v>548</v>
      </c>
      <c r="F614" s="1" t="n">
        <v>561</v>
      </c>
      <c r="G614" s="1" t="n">
        <v>53</v>
      </c>
      <c r="H614" s="1" t="n">
        <v>95.6</v>
      </c>
      <c r="I614" s="1" t="n">
        <v>260</v>
      </c>
    </row>
    <row r="615" customFormat="false" ht="15.75" hidden="false" customHeight="true" outlineLevel="0" collapsed="false">
      <c r="A615" s="1" t="s">
        <v>692</v>
      </c>
      <c r="B615" s="1" t="s">
        <v>12</v>
      </c>
      <c r="C615" s="1" t="s">
        <v>13</v>
      </c>
      <c r="D615" s="1" t="s">
        <v>421</v>
      </c>
      <c r="E615" s="1" t="n">
        <v>613</v>
      </c>
      <c r="F615" s="1" t="n">
        <v>715</v>
      </c>
      <c r="G615" s="1" t="n">
        <v>97.9</v>
      </c>
      <c r="H615" s="1" t="n">
        <v>98</v>
      </c>
      <c r="I615" s="1" t="n">
        <v>12</v>
      </c>
    </row>
    <row r="616" customFormat="false" ht="15.75" hidden="false" customHeight="true" outlineLevel="0" collapsed="false">
      <c r="A616" s="1" t="s">
        <v>693</v>
      </c>
      <c r="B616" s="1" t="s">
        <v>12</v>
      </c>
      <c r="C616" s="1" t="s">
        <v>13</v>
      </c>
      <c r="D616" s="1" t="s">
        <v>14</v>
      </c>
      <c r="E616" s="1" t="n">
        <v>498</v>
      </c>
      <c r="F616" s="1" t="n">
        <v>508</v>
      </c>
      <c r="G616" s="1" t="n">
        <v>97.4</v>
      </c>
      <c r="H616" s="1" t="n">
        <v>94</v>
      </c>
      <c r="I616" s="1" t="n">
        <v>2</v>
      </c>
    </row>
    <row r="617" customFormat="false" ht="15.75" hidden="false" customHeight="true" outlineLevel="0" collapsed="false">
      <c r="A617" s="1" t="s">
        <v>694</v>
      </c>
      <c r="B617" s="1" t="s">
        <v>12</v>
      </c>
      <c r="C617" s="1" t="s">
        <v>13</v>
      </c>
      <c r="D617" s="1" t="s">
        <v>14</v>
      </c>
      <c r="E617" s="1" t="n">
        <v>548</v>
      </c>
      <c r="F617" s="1" t="n">
        <v>561</v>
      </c>
      <c r="G617" s="1" t="n">
        <v>53</v>
      </c>
      <c r="H617" s="1" t="n">
        <v>95.6</v>
      </c>
      <c r="I617" s="1" t="n">
        <v>260</v>
      </c>
    </row>
    <row r="618" customFormat="false" ht="15.75" hidden="false" customHeight="true" outlineLevel="0" collapsed="false">
      <c r="A618" s="1" t="s">
        <v>695</v>
      </c>
      <c r="B618" s="1" t="s">
        <v>12</v>
      </c>
      <c r="C618" s="1" t="s">
        <v>21</v>
      </c>
      <c r="D618" s="1" t="s">
        <v>58</v>
      </c>
      <c r="E618" s="1" t="n">
        <v>36236</v>
      </c>
      <c r="F618" s="1" t="n">
        <v>36343</v>
      </c>
      <c r="G618" s="1" t="n">
        <v>0</v>
      </c>
      <c r="H618" s="1" t="n">
        <v>1436.1</v>
      </c>
      <c r="I618" s="1" t="n">
        <v>3000</v>
      </c>
    </row>
    <row r="619" customFormat="false" ht="15.75" hidden="false" customHeight="true" outlineLevel="0" collapsed="false">
      <c r="A619" s="1" t="s">
        <v>696</v>
      </c>
      <c r="B619" s="1" t="s">
        <v>12</v>
      </c>
      <c r="C619" s="1" t="s">
        <v>37</v>
      </c>
      <c r="D619" s="1" t="s">
        <v>58</v>
      </c>
      <c r="E619" s="1" t="n">
        <v>570</v>
      </c>
      <c r="F619" s="1" t="n">
        <v>583</v>
      </c>
      <c r="G619" s="1" t="n">
        <v>97.96</v>
      </c>
      <c r="H619" s="1" t="n">
        <v>96.2</v>
      </c>
      <c r="I619" s="1" t="n">
        <v>5</v>
      </c>
    </row>
    <row r="620" customFormat="false" ht="15.75" hidden="false" customHeight="true" outlineLevel="0" collapsed="false">
      <c r="A620" s="1" t="s">
        <v>697</v>
      </c>
      <c r="B620" s="1" t="s">
        <v>698</v>
      </c>
      <c r="C620" s="1" t="s">
        <v>37</v>
      </c>
      <c r="D620" s="1" t="s">
        <v>18</v>
      </c>
      <c r="E620" s="1" t="n">
        <v>484</v>
      </c>
      <c r="F620" s="1" t="n">
        <v>504</v>
      </c>
      <c r="G620" s="1" t="n">
        <v>88.9</v>
      </c>
      <c r="H620" s="1" t="n">
        <v>94.5</v>
      </c>
      <c r="I620" s="1" t="n">
        <v>600</v>
      </c>
    </row>
    <row r="621" customFormat="false" ht="15.75" hidden="false" customHeight="true" outlineLevel="0" collapsed="false">
      <c r="A621" s="1" t="s">
        <v>699</v>
      </c>
      <c r="B621" s="1" t="s">
        <v>12</v>
      </c>
      <c r="C621" s="1" t="s">
        <v>21</v>
      </c>
      <c r="D621" s="1" t="s">
        <v>14</v>
      </c>
      <c r="E621" s="1" t="n">
        <v>35772</v>
      </c>
      <c r="F621" s="1" t="n">
        <v>35801</v>
      </c>
      <c r="G621" s="1" t="n">
        <v>0</v>
      </c>
      <c r="H621" s="1" t="n">
        <v>1436.1</v>
      </c>
      <c r="I621" s="1" t="n">
        <v>5990</v>
      </c>
    </row>
    <row r="622" customFormat="false" ht="15.75" hidden="false" customHeight="true" outlineLevel="0" collapsed="false">
      <c r="A622" s="1" t="s">
        <v>700</v>
      </c>
      <c r="B622" s="1" t="s">
        <v>112</v>
      </c>
      <c r="C622" s="1" t="s">
        <v>13</v>
      </c>
      <c r="D622" s="1" t="s">
        <v>18</v>
      </c>
      <c r="E622" s="1" t="n">
        <v>467</v>
      </c>
      <c r="F622" s="1" t="n">
        <v>478</v>
      </c>
      <c r="G622" s="1" t="n">
        <v>97.3</v>
      </c>
      <c r="H622" s="1" t="n">
        <v>94</v>
      </c>
      <c r="I622" s="1" t="n">
        <v>45</v>
      </c>
    </row>
    <row r="623" customFormat="false" ht="15.75" hidden="false" customHeight="true" outlineLevel="0" collapsed="false">
      <c r="A623" s="1" t="s">
        <v>701</v>
      </c>
      <c r="B623" s="1" t="s">
        <v>12</v>
      </c>
      <c r="C623" s="1" t="s">
        <v>13</v>
      </c>
      <c r="D623" s="1" t="s">
        <v>14</v>
      </c>
      <c r="E623" s="1" t="n">
        <v>565</v>
      </c>
      <c r="F623" s="1" t="n">
        <v>567</v>
      </c>
      <c r="G623" s="1" t="n">
        <v>43</v>
      </c>
      <c r="H623" s="1" t="n">
        <v>95.8</v>
      </c>
      <c r="I623" s="1" t="n">
        <v>260</v>
      </c>
    </row>
    <row r="624" customFormat="false" ht="15.75" hidden="false" customHeight="true" outlineLevel="0" collapsed="false">
      <c r="A624" s="1" t="s">
        <v>702</v>
      </c>
      <c r="B624" s="1" t="s">
        <v>12</v>
      </c>
      <c r="C624" s="1" t="s">
        <v>13</v>
      </c>
      <c r="D624" s="1" t="s">
        <v>14</v>
      </c>
      <c r="E624" s="1" t="n">
        <v>570</v>
      </c>
      <c r="F624" s="1" t="n">
        <v>575</v>
      </c>
      <c r="G624" s="1" t="n">
        <v>70</v>
      </c>
      <c r="H624" s="1" t="n">
        <v>96.1</v>
      </c>
      <c r="I624" s="1" t="n">
        <v>260</v>
      </c>
    </row>
    <row r="625" customFormat="false" ht="15.75" hidden="false" customHeight="true" outlineLevel="0" collapsed="false">
      <c r="A625" s="1" t="s">
        <v>703</v>
      </c>
      <c r="B625" s="1" t="s">
        <v>12</v>
      </c>
      <c r="C625" s="1" t="s">
        <v>13</v>
      </c>
      <c r="D625" s="1" t="s">
        <v>14</v>
      </c>
      <c r="E625" s="1" t="n">
        <v>548</v>
      </c>
      <c r="F625" s="1" t="n">
        <v>551</v>
      </c>
      <c r="G625" s="1" t="n">
        <v>53</v>
      </c>
      <c r="H625" s="1" t="n">
        <v>95.6</v>
      </c>
      <c r="I625" s="1" t="n">
        <v>260</v>
      </c>
    </row>
    <row r="626" customFormat="false" ht="15.75" hidden="false" customHeight="true" outlineLevel="0" collapsed="false">
      <c r="A626" s="1" t="s">
        <v>704</v>
      </c>
      <c r="B626" s="1" t="s">
        <v>112</v>
      </c>
      <c r="C626" s="1" t="s">
        <v>13</v>
      </c>
      <c r="D626" s="1" t="s">
        <v>14</v>
      </c>
      <c r="E626" s="1" t="n">
        <v>35778</v>
      </c>
      <c r="F626" s="1" t="n">
        <v>35795</v>
      </c>
      <c r="G626" s="1" t="n">
        <v>0.01</v>
      </c>
      <c r="H626" s="1" t="n">
        <v>1436.07</v>
      </c>
      <c r="I626" s="1" t="n">
        <v>3000</v>
      </c>
    </row>
    <row r="627" customFormat="false" ht="15.75" hidden="false" customHeight="true" outlineLevel="0" collapsed="false">
      <c r="A627" s="1" t="s">
        <v>705</v>
      </c>
      <c r="B627" s="1" t="s">
        <v>12</v>
      </c>
      <c r="C627" s="1" t="s">
        <v>13</v>
      </c>
      <c r="D627" s="1" t="s">
        <v>14</v>
      </c>
      <c r="E627" s="1" t="n">
        <v>348</v>
      </c>
      <c r="F627" s="1" t="n">
        <v>351</v>
      </c>
      <c r="G627" s="1" t="n">
        <v>53.2</v>
      </c>
      <c r="H627" s="1" t="n">
        <v>91.5</v>
      </c>
      <c r="I627" s="1" t="n">
        <v>260</v>
      </c>
    </row>
    <row r="628" customFormat="false" ht="15.75" hidden="false" customHeight="true" outlineLevel="0" collapsed="false">
      <c r="A628" s="1" t="s">
        <v>706</v>
      </c>
      <c r="B628" s="1" t="s">
        <v>52</v>
      </c>
      <c r="C628" s="1" t="s">
        <v>13</v>
      </c>
      <c r="D628" s="1" t="s">
        <v>18</v>
      </c>
      <c r="E628" s="1" t="n">
        <v>481</v>
      </c>
      <c r="F628" s="1" t="n">
        <v>492</v>
      </c>
      <c r="G628" s="1" t="n">
        <v>97.4</v>
      </c>
      <c r="H628" s="1" t="n">
        <v>94.5</v>
      </c>
      <c r="I628" s="1" t="n">
        <v>50</v>
      </c>
    </row>
    <row r="629" customFormat="false" ht="15.75" hidden="false" customHeight="true" outlineLevel="0" collapsed="false">
      <c r="A629" s="1" t="s">
        <v>707</v>
      </c>
      <c r="B629" s="1" t="s">
        <v>12</v>
      </c>
      <c r="C629" s="1" t="s">
        <v>13</v>
      </c>
      <c r="D629" s="1" t="s">
        <v>14</v>
      </c>
      <c r="E629" s="1" t="n">
        <v>538</v>
      </c>
      <c r="F629" s="1" t="n">
        <v>541</v>
      </c>
      <c r="G629" s="1" t="n">
        <v>53.2</v>
      </c>
      <c r="H629" s="1" t="n">
        <v>95.4</v>
      </c>
      <c r="I629" s="1" t="n">
        <v>260</v>
      </c>
    </row>
    <row r="630" customFormat="false" ht="15.75" hidden="false" customHeight="true" outlineLevel="0" collapsed="false">
      <c r="A630" s="1" t="s">
        <v>708</v>
      </c>
      <c r="B630" s="1" t="s">
        <v>12</v>
      </c>
      <c r="C630" s="1" t="s">
        <v>13</v>
      </c>
      <c r="D630" s="1" t="s">
        <v>14</v>
      </c>
      <c r="E630" s="1" t="n">
        <v>512</v>
      </c>
      <c r="F630" s="1" t="n">
        <v>536</v>
      </c>
      <c r="G630" s="1" t="n">
        <v>97.5</v>
      </c>
      <c r="H630" s="1" t="n">
        <v>94.3</v>
      </c>
      <c r="I630" s="1" t="n">
        <v>2</v>
      </c>
    </row>
    <row r="631" customFormat="false" ht="15.75" hidden="false" customHeight="true" outlineLevel="0" collapsed="false">
      <c r="A631" s="1" t="s">
        <v>709</v>
      </c>
      <c r="B631" s="1" t="s">
        <v>710</v>
      </c>
      <c r="C631" s="1" t="s">
        <v>13</v>
      </c>
      <c r="D631" s="1" t="s">
        <v>14</v>
      </c>
      <c r="E631" s="1" t="n">
        <v>35789</v>
      </c>
      <c r="F631" s="1" t="n">
        <v>35797</v>
      </c>
      <c r="G631" s="1" t="n">
        <v>0</v>
      </c>
      <c r="H631" s="1" t="n">
        <v>1436.1</v>
      </c>
      <c r="I631" s="1" t="n">
        <v>5800</v>
      </c>
    </row>
    <row r="632" customFormat="false" ht="15.75" hidden="false" customHeight="true" outlineLevel="0" collapsed="false">
      <c r="A632" s="1" t="s">
        <v>711</v>
      </c>
      <c r="B632" s="1" t="s">
        <v>112</v>
      </c>
      <c r="C632" s="1" t="s">
        <v>13</v>
      </c>
      <c r="D632" s="1" t="s">
        <v>18</v>
      </c>
      <c r="E632" s="1" t="n">
        <v>521</v>
      </c>
      <c r="F632" s="1" t="n">
        <v>537</v>
      </c>
      <c r="G632" s="1" t="n">
        <v>97.5</v>
      </c>
      <c r="H632" s="1" t="n">
        <v>95.1</v>
      </c>
      <c r="I632" s="1" t="n">
        <v>42</v>
      </c>
    </row>
    <row r="633" customFormat="false" ht="15.75" hidden="false" customHeight="true" outlineLevel="0" collapsed="false">
      <c r="A633" s="1" t="s">
        <v>712</v>
      </c>
      <c r="B633" s="1" t="s">
        <v>12</v>
      </c>
      <c r="C633" s="1" t="s">
        <v>13</v>
      </c>
      <c r="D633" s="1" t="s">
        <v>18</v>
      </c>
      <c r="E633" s="1" t="n">
        <v>496</v>
      </c>
      <c r="F633" s="1" t="n">
        <v>507</v>
      </c>
      <c r="G633" s="1" t="n">
        <v>97.5</v>
      </c>
      <c r="H633" s="1" t="n">
        <v>94.6</v>
      </c>
      <c r="I633" s="1" t="n">
        <v>10</v>
      </c>
    </row>
    <row r="634" customFormat="false" ht="15.75" hidden="false" customHeight="true" outlineLevel="0" collapsed="false">
      <c r="A634" s="1" t="s">
        <v>713</v>
      </c>
      <c r="B634" s="1" t="s">
        <v>12</v>
      </c>
      <c r="C634" s="1" t="s">
        <v>13</v>
      </c>
      <c r="D634" s="1" t="s">
        <v>14</v>
      </c>
      <c r="E634" s="1" t="n">
        <v>548</v>
      </c>
      <c r="F634" s="1" t="n">
        <v>561</v>
      </c>
      <c r="G634" s="1" t="n">
        <v>53</v>
      </c>
      <c r="H634" s="1" t="n">
        <v>95.6</v>
      </c>
      <c r="I634" s="1" t="n">
        <v>260</v>
      </c>
    </row>
    <row r="635" customFormat="false" ht="15.75" hidden="false" customHeight="true" outlineLevel="0" collapsed="false">
      <c r="A635" s="1" t="s">
        <v>714</v>
      </c>
      <c r="B635" s="1" t="s">
        <v>12</v>
      </c>
      <c r="C635" s="1" t="s">
        <v>13</v>
      </c>
      <c r="D635" s="1" t="s">
        <v>14</v>
      </c>
      <c r="E635" s="1" t="n">
        <v>348</v>
      </c>
      <c r="F635" s="1" t="n">
        <v>351</v>
      </c>
      <c r="G635" s="1" t="n">
        <v>53.2</v>
      </c>
      <c r="H635" s="1" t="n">
        <v>91.5</v>
      </c>
      <c r="I635" s="1" t="n">
        <v>260</v>
      </c>
    </row>
    <row r="636" customFormat="false" ht="15.75" hidden="false" customHeight="true" outlineLevel="0" collapsed="false">
      <c r="A636" s="1" t="s">
        <v>715</v>
      </c>
      <c r="B636" s="1" t="s">
        <v>23</v>
      </c>
      <c r="C636" s="1" t="s">
        <v>13</v>
      </c>
      <c r="D636" s="1" t="s">
        <v>14</v>
      </c>
      <c r="E636" s="1" t="n">
        <v>1200</v>
      </c>
      <c r="F636" s="1" t="n">
        <v>1202</v>
      </c>
      <c r="G636" s="1" t="n">
        <v>87.4</v>
      </c>
      <c r="H636" s="1" t="n">
        <v>109.6</v>
      </c>
      <c r="I636" s="1" t="n">
        <v>148</v>
      </c>
    </row>
    <row r="637" customFormat="false" ht="15.75" hidden="false" customHeight="true" outlineLevel="0" collapsed="false">
      <c r="A637" s="1" t="s">
        <v>716</v>
      </c>
      <c r="B637" s="1" t="s">
        <v>12</v>
      </c>
      <c r="C637" s="1" t="s">
        <v>21</v>
      </c>
      <c r="D637" s="1" t="s">
        <v>18</v>
      </c>
      <c r="E637" s="1" t="n">
        <v>1014</v>
      </c>
      <c r="F637" s="1" t="n">
        <v>1201</v>
      </c>
      <c r="G637" s="1" t="n">
        <v>63.4</v>
      </c>
      <c r="H637" s="1" t="n">
        <v>107.4</v>
      </c>
      <c r="I637" s="1" t="n">
        <v>5000</v>
      </c>
    </row>
    <row r="638" customFormat="false" ht="15.75" hidden="false" customHeight="true" outlineLevel="0" collapsed="false">
      <c r="A638" s="1" t="s">
        <v>717</v>
      </c>
      <c r="B638" s="1" t="s">
        <v>12</v>
      </c>
      <c r="C638" s="1" t="s">
        <v>13</v>
      </c>
      <c r="D638" s="1" t="s">
        <v>14</v>
      </c>
      <c r="E638" s="1" t="n">
        <v>548</v>
      </c>
      <c r="F638" s="1" t="n">
        <v>561</v>
      </c>
      <c r="G638" s="1" t="n">
        <v>53</v>
      </c>
      <c r="H638" s="1" t="n">
        <v>95.6</v>
      </c>
      <c r="I638" s="1" t="n">
        <v>260</v>
      </c>
    </row>
    <row r="639" customFormat="false" ht="15.75" hidden="false" customHeight="true" outlineLevel="0" collapsed="false">
      <c r="A639" s="1" t="s">
        <v>718</v>
      </c>
      <c r="B639" s="1" t="s">
        <v>12</v>
      </c>
      <c r="C639" s="1" t="s">
        <v>13</v>
      </c>
      <c r="D639" s="1" t="s">
        <v>14</v>
      </c>
      <c r="E639" s="1" t="n">
        <v>538</v>
      </c>
      <c r="F639" s="1" t="n">
        <v>541</v>
      </c>
      <c r="G639" s="1" t="n">
        <v>53.2</v>
      </c>
      <c r="H639" s="1" t="n">
        <v>95.4</v>
      </c>
      <c r="I639" s="1" t="n">
        <v>260</v>
      </c>
    </row>
    <row r="640" customFormat="false" ht="15.75" hidden="false" customHeight="true" outlineLevel="0" collapsed="false">
      <c r="A640" s="1" t="s">
        <v>719</v>
      </c>
      <c r="B640" s="1" t="s">
        <v>12</v>
      </c>
      <c r="C640" s="1" t="s">
        <v>13</v>
      </c>
      <c r="D640" s="1" t="s">
        <v>14</v>
      </c>
      <c r="E640" s="1" t="n">
        <v>548</v>
      </c>
      <c r="F640" s="1" t="n">
        <v>561</v>
      </c>
      <c r="G640" s="1" t="n">
        <v>53</v>
      </c>
      <c r="H640" s="1" t="n">
        <v>95.6</v>
      </c>
      <c r="I640" s="1" t="n">
        <v>260</v>
      </c>
    </row>
    <row r="641" customFormat="false" ht="15.75" hidden="false" customHeight="true" outlineLevel="0" collapsed="false">
      <c r="A641" s="1" t="s">
        <v>720</v>
      </c>
      <c r="B641" s="1" t="s">
        <v>432</v>
      </c>
      <c r="C641" s="1" t="s">
        <v>83</v>
      </c>
      <c r="D641" s="1" t="s">
        <v>18</v>
      </c>
      <c r="E641" s="1" t="n">
        <v>522</v>
      </c>
      <c r="F641" s="1" t="n">
        <v>540</v>
      </c>
      <c r="G641" s="1" t="n">
        <v>97.5</v>
      </c>
      <c r="H641" s="1" t="n">
        <v>95.25</v>
      </c>
      <c r="I641" s="1" t="n">
        <v>980</v>
      </c>
    </row>
    <row r="642" customFormat="false" ht="15.75" hidden="false" customHeight="true" outlineLevel="0" collapsed="false">
      <c r="A642" s="1" t="s">
        <v>721</v>
      </c>
      <c r="B642" s="1" t="s">
        <v>12</v>
      </c>
      <c r="C642" s="1" t="s">
        <v>13</v>
      </c>
      <c r="D642" s="1" t="s">
        <v>14</v>
      </c>
      <c r="E642" s="1" t="n">
        <v>260</v>
      </c>
      <c r="F642" s="1" t="n">
        <v>280</v>
      </c>
      <c r="G642" s="1" t="n">
        <v>53</v>
      </c>
      <c r="H642" s="1" t="n">
        <v>95.6</v>
      </c>
      <c r="I642" s="1" t="n">
        <v>260</v>
      </c>
    </row>
    <row r="643" customFormat="false" ht="15.75" hidden="false" customHeight="true" outlineLevel="0" collapsed="false">
      <c r="A643" s="1" t="s">
        <v>722</v>
      </c>
      <c r="B643" s="1" t="s">
        <v>12</v>
      </c>
      <c r="C643" s="1" t="s">
        <v>13</v>
      </c>
      <c r="D643" s="1" t="s">
        <v>14</v>
      </c>
      <c r="E643" s="1" t="n">
        <v>539</v>
      </c>
      <c r="F643" s="1" t="n">
        <v>541</v>
      </c>
      <c r="G643" s="1" t="n">
        <v>53</v>
      </c>
      <c r="H643" s="1" t="n">
        <v>95.4</v>
      </c>
      <c r="I643" s="1" t="n">
        <v>260</v>
      </c>
    </row>
    <row r="644" customFormat="false" ht="15.75" hidden="false" customHeight="true" outlineLevel="0" collapsed="false">
      <c r="A644" s="1" t="s">
        <v>723</v>
      </c>
      <c r="B644" s="1" t="s">
        <v>12</v>
      </c>
      <c r="C644" s="1" t="s">
        <v>13</v>
      </c>
      <c r="D644" s="1" t="s">
        <v>14</v>
      </c>
      <c r="E644" s="1" t="n">
        <v>549</v>
      </c>
      <c r="F644" s="1" t="n">
        <v>551</v>
      </c>
      <c r="G644" s="1" t="n">
        <v>53</v>
      </c>
      <c r="H644" s="1" t="n">
        <v>90.5</v>
      </c>
      <c r="I644" s="1" t="n">
        <v>227</v>
      </c>
    </row>
    <row r="645" customFormat="false" ht="15.75" hidden="false" customHeight="true" outlineLevel="0" collapsed="false">
      <c r="A645" s="1" t="s">
        <v>724</v>
      </c>
      <c r="B645" s="1" t="s">
        <v>186</v>
      </c>
      <c r="C645" s="1" t="s">
        <v>13</v>
      </c>
      <c r="D645" s="1" t="s">
        <v>14</v>
      </c>
      <c r="E645" s="1" t="n">
        <v>35700</v>
      </c>
      <c r="F645" s="1" t="n">
        <v>35700</v>
      </c>
      <c r="G645" s="1" t="n">
        <v>0.01</v>
      </c>
      <c r="H645" s="1" t="n">
        <v>1436.1</v>
      </c>
      <c r="I645" s="1" t="n">
        <v>4745</v>
      </c>
    </row>
    <row r="646" customFormat="false" ht="15.75" hidden="false" customHeight="true" outlineLevel="0" collapsed="false">
      <c r="A646" s="1" t="s">
        <v>725</v>
      </c>
      <c r="B646" s="1" t="s">
        <v>96</v>
      </c>
      <c r="C646" s="1" t="s">
        <v>97</v>
      </c>
      <c r="D646" s="1" t="s">
        <v>161</v>
      </c>
      <c r="E646" s="1" t="n">
        <v>535</v>
      </c>
      <c r="F646" s="1" t="n">
        <v>562</v>
      </c>
      <c r="G646" s="1" t="n">
        <v>97.6</v>
      </c>
      <c r="H646" s="1" t="n">
        <v>95.5</v>
      </c>
      <c r="I646" s="1" t="n">
        <v>1</v>
      </c>
    </row>
    <row r="647" customFormat="false" ht="15.75" hidden="false" customHeight="true" outlineLevel="0" collapsed="false">
      <c r="A647" s="1" t="s">
        <v>726</v>
      </c>
      <c r="B647" s="1" t="s">
        <v>52</v>
      </c>
      <c r="C647" s="1" t="s">
        <v>21</v>
      </c>
      <c r="D647" s="1" t="s">
        <v>18</v>
      </c>
      <c r="E647" s="1" t="n">
        <v>1079</v>
      </c>
      <c r="F647" s="1" t="n">
        <v>1090</v>
      </c>
      <c r="G647" s="1" t="n">
        <v>63.38</v>
      </c>
      <c r="H647" s="1" t="n">
        <v>106.93</v>
      </c>
    </row>
    <row r="648" customFormat="false" ht="15.75" hidden="false" customHeight="true" outlineLevel="0" collapsed="false">
      <c r="A648" s="1" t="s">
        <v>727</v>
      </c>
      <c r="B648" s="1" t="s">
        <v>23</v>
      </c>
      <c r="C648" s="1" t="s">
        <v>13</v>
      </c>
      <c r="D648" s="1" t="s">
        <v>14</v>
      </c>
      <c r="E648" s="1" t="n">
        <v>1215</v>
      </c>
      <c r="F648" s="1" t="n">
        <v>1220</v>
      </c>
      <c r="G648" s="1" t="n">
        <v>87.4</v>
      </c>
      <c r="H648" s="1" t="n">
        <v>93.5</v>
      </c>
      <c r="I648" s="1" t="n">
        <v>148</v>
      </c>
    </row>
    <row r="649" customFormat="false" ht="15.75" hidden="false" customHeight="true" outlineLevel="0" collapsed="false">
      <c r="A649" s="1" t="s">
        <v>728</v>
      </c>
      <c r="B649" s="1" t="s">
        <v>12</v>
      </c>
      <c r="C649" s="1" t="s">
        <v>13</v>
      </c>
      <c r="D649" s="1" t="s">
        <v>14</v>
      </c>
      <c r="E649" s="1" t="n">
        <v>358</v>
      </c>
      <c r="F649" s="1" t="n">
        <v>362</v>
      </c>
      <c r="G649" s="1" t="n">
        <v>70</v>
      </c>
      <c r="H649" s="1" t="n">
        <v>91.8</v>
      </c>
      <c r="I649" s="1" t="n">
        <v>260</v>
      </c>
    </row>
    <row r="650" customFormat="false" ht="15.75" hidden="false" customHeight="true" outlineLevel="0" collapsed="false">
      <c r="A650" s="1" t="s">
        <v>729</v>
      </c>
      <c r="B650" s="1" t="s">
        <v>12</v>
      </c>
      <c r="C650" s="1" t="s">
        <v>13</v>
      </c>
      <c r="D650" s="1" t="s">
        <v>161</v>
      </c>
      <c r="E650" s="1" t="n">
        <v>542</v>
      </c>
      <c r="F650" s="1" t="n">
        <v>558</v>
      </c>
      <c r="G650" s="1" t="n">
        <v>45</v>
      </c>
      <c r="H650" s="1" t="n">
        <v>95.7</v>
      </c>
      <c r="I650" s="1" t="n">
        <v>9</v>
      </c>
    </row>
    <row r="651" customFormat="false" ht="15.75" hidden="false" customHeight="true" outlineLevel="0" collapsed="false">
      <c r="A651" s="1" t="s">
        <v>730</v>
      </c>
      <c r="B651" s="1" t="s">
        <v>12</v>
      </c>
      <c r="C651" s="1" t="s">
        <v>13</v>
      </c>
      <c r="D651" s="1" t="s">
        <v>14</v>
      </c>
      <c r="E651" s="1" t="n">
        <v>522</v>
      </c>
      <c r="F651" s="1" t="n">
        <v>533</v>
      </c>
      <c r="G651" s="1" t="n">
        <v>97.5</v>
      </c>
      <c r="H651" s="1" t="n">
        <v>94.3</v>
      </c>
      <c r="I651" s="1" t="n">
        <v>2</v>
      </c>
    </row>
    <row r="652" customFormat="false" ht="15.75" hidden="false" customHeight="true" outlineLevel="0" collapsed="false">
      <c r="A652" s="1" t="s">
        <v>731</v>
      </c>
      <c r="B652" s="1" t="s">
        <v>186</v>
      </c>
      <c r="C652" s="1" t="s">
        <v>13</v>
      </c>
      <c r="D652" s="1" t="s">
        <v>14</v>
      </c>
      <c r="G652" s="1" t="n">
        <v>97.4</v>
      </c>
      <c r="H652" s="1" t="n">
        <v>95</v>
      </c>
      <c r="I652" s="1" t="n">
        <v>15</v>
      </c>
    </row>
    <row r="653" customFormat="false" ht="15.75" hidden="false" customHeight="true" outlineLevel="0" collapsed="false">
      <c r="A653" s="1" t="s">
        <v>732</v>
      </c>
      <c r="B653" s="1" t="s">
        <v>12</v>
      </c>
      <c r="C653" s="1" t="s">
        <v>13</v>
      </c>
      <c r="D653" s="1" t="s">
        <v>14</v>
      </c>
      <c r="E653" s="1" t="n">
        <v>548</v>
      </c>
      <c r="F653" s="1" t="n">
        <v>561</v>
      </c>
      <c r="G653" s="1" t="n">
        <v>53</v>
      </c>
      <c r="H653" s="1" t="n">
        <v>95.6</v>
      </c>
      <c r="I653" s="1" t="n">
        <v>260</v>
      </c>
    </row>
    <row r="654" customFormat="false" ht="15.75" hidden="false" customHeight="true" outlineLevel="0" collapsed="false">
      <c r="A654" s="1" t="s">
        <v>733</v>
      </c>
      <c r="B654" s="1" t="s">
        <v>12</v>
      </c>
      <c r="C654" s="1" t="s">
        <v>13</v>
      </c>
      <c r="D654" s="1" t="s">
        <v>14</v>
      </c>
      <c r="E654" s="1" t="n">
        <v>403</v>
      </c>
      <c r="F654" s="1" t="n">
        <v>405</v>
      </c>
      <c r="G654" s="1" t="n">
        <v>53.2</v>
      </c>
      <c r="H654" s="1" t="n">
        <v>92.6</v>
      </c>
      <c r="I654" s="1" t="n">
        <v>260</v>
      </c>
    </row>
    <row r="655" customFormat="false" ht="15.75" hidden="false" customHeight="true" outlineLevel="0" collapsed="false">
      <c r="A655" s="1" t="s">
        <v>734</v>
      </c>
      <c r="B655" s="1" t="s">
        <v>12</v>
      </c>
      <c r="C655" s="1" t="s">
        <v>13</v>
      </c>
      <c r="D655" s="1" t="s">
        <v>14</v>
      </c>
      <c r="E655" s="1" t="n">
        <v>539</v>
      </c>
      <c r="F655" s="1" t="n">
        <v>541</v>
      </c>
      <c r="G655" s="1" t="n">
        <v>53.2</v>
      </c>
      <c r="H655" s="1" t="n">
        <v>95.4</v>
      </c>
      <c r="I655" s="1" t="n">
        <v>260</v>
      </c>
    </row>
    <row r="656" customFormat="false" ht="15.75" hidden="false" customHeight="true" outlineLevel="0" collapsed="false">
      <c r="A656" s="1" t="s">
        <v>735</v>
      </c>
      <c r="B656" s="1" t="s">
        <v>12</v>
      </c>
      <c r="C656" s="1" t="s">
        <v>83</v>
      </c>
      <c r="D656" s="1" t="s">
        <v>14</v>
      </c>
      <c r="E656" s="1" t="n">
        <v>606</v>
      </c>
      <c r="F656" s="1" t="n">
        <v>623</v>
      </c>
      <c r="G656" s="1" t="n">
        <v>86.6</v>
      </c>
      <c r="H656" s="1" t="n">
        <v>97</v>
      </c>
      <c r="I656" s="1" t="n">
        <v>860</v>
      </c>
    </row>
    <row r="657" customFormat="false" ht="15.75" hidden="false" customHeight="true" outlineLevel="0" collapsed="false">
      <c r="A657" s="1" t="s">
        <v>736</v>
      </c>
      <c r="B657" s="1" t="s">
        <v>12</v>
      </c>
      <c r="C657" s="1" t="s">
        <v>13</v>
      </c>
      <c r="D657" s="1" t="s">
        <v>14</v>
      </c>
      <c r="E657" s="1" t="n">
        <v>548</v>
      </c>
      <c r="F657" s="1" t="n">
        <v>551</v>
      </c>
      <c r="G657" s="1" t="n">
        <v>53</v>
      </c>
      <c r="H657" s="1" t="n">
        <v>95.6</v>
      </c>
      <c r="I657" s="1" t="n">
        <v>260</v>
      </c>
    </row>
    <row r="658" customFormat="false" ht="15.75" hidden="false" customHeight="true" outlineLevel="0" collapsed="false">
      <c r="A658" s="1" t="s">
        <v>737</v>
      </c>
      <c r="B658" s="1" t="s">
        <v>12</v>
      </c>
      <c r="C658" s="1" t="s">
        <v>13</v>
      </c>
      <c r="D658" s="1" t="s">
        <v>14</v>
      </c>
      <c r="E658" s="1" t="n">
        <v>569</v>
      </c>
      <c r="F658" s="1" t="n">
        <v>571</v>
      </c>
      <c r="G658" s="1" t="n">
        <v>97.7</v>
      </c>
      <c r="H658" s="1" t="n">
        <v>95.9</v>
      </c>
      <c r="I658" s="1" t="n">
        <v>300</v>
      </c>
    </row>
    <row r="659" customFormat="false" ht="15.75" hidden="false" customHeight="true" outlineLevel="0" collapsed="false">
      <c r="A659" s="1" t="s">
        <v>738</v>
      </c>
      <c r="B659" s="1" t="s">
        <v>12</v>
      </c>
      <c r="C659" s="1" t="s">
        <v>13</v>
      </c>
      <c r="D659" s="1" t="s">
        <v>14</v>
      </c>
      <c r="E659" s="1" t="n">
        <v>548</v>
      </c>
      <c r="F659" s="1" t="n">
        <v>561</v>
      </c>
      <c r="G659" s="1" t="n">
        <v>53</v>
      </c>
      <c r="H659" s="1" t="n">
        <v>95.6</v>
      </c>
      <c r="I659" s="1" t="n">
        <v>260</v>
      </c>
    </row>
    <row r="660" customFormat="false" ht="15.75" hidden="false" customHeight="true" outlineLevel="0" collapsed="false">
      <c r="A660" s="1" t="s">
        <v>739</v>
      </c>
      <c r="B660" s="1" t="s">
        <v>23</v>
      </c>
      <c r="C660" s="1" t="s">
        <v>13</v>
      </c>
      <c r="D660" s="1" t="s">
        <v>14</v>
      </c>
      <c r="E660" s="1" t="n">
        <v>977</v>
      </c>
      <c r="F660" s="1" t="n">
        <v>982</v>
      </c>
      <c r="G660" s="1" t="n">
        <v>87.5</v>
      </c>
      <c r="H660" s="1" t="n">
        <v>104.5</v>
      </c>
      <c r="I660" s="1" t="n">
        <v>148</v>
      </c>
    </row>
    <row r="661" customFormat="false" ht="15.75" hidden="false" customHeight="true" outlineLevel="0" collapsed="false">
      <c r="A661" s="1" t="s">
        <v>740</v>
      </c>
      <c r="B661" s="1" t="s">
        <v>12</v>
      </c>
      <c r="C661" s="1" t="s">
        <v>13</v>
      </c>
      <c r="D661" s="1" t="s">
        <v>14</v>
      </c>
      <c r="E661" s="1" t="n">
        <v>548</v>
      </c>
      <c r="F661" s="1" t="n">
        <v>561</v>
      </c>
      <c r="G661" s="1" t="n">
        <v>53</v>
      </c>
      <c r="H661" s="1" t="n">
        <v>95.6</v>
      </c>
      <c r="I661" s="1" t="n">
        <v>260</v>
      </c>
    </row>
    <row r="662" customFormat="false" ht="15.75" hidden="false" customHeight="true" outlineLevel="0" collapsed="false">
      <c r="A662" s="1" t="s">
        <v>741</v>
      </c>
      <c r="B662" s="1" t="s">
        <v>12</v>
      </c>
      <c r="C662" s="1" t="s">
        <v>13</v>
      </c>
      <c r="D662" s="1" t="s">
        <v>14</v>
      </c>
      <c r="E662" s="1" t="n">
        <v>548</v>
      </c>
      <c r="F662" s="1" t="n">
        <v>561</v>
      </c>
      <c r="G662" s="1" t="n">
        <v>53</v>
      </c>
      <c r="H662" s="1" t="n">
        <v>95.6</v>
      </c>
      <c r="I662" s="1" t="n">
        <v>260</v>
      </c>
    </row>
    <row r="663" customFormat="false" ht="15.75" hidden="false" customHeight="true" outlineLevel="0" collapsed="false">
      <c r="A663" s="1" t="s">
        <v>742</v>
      </c>
      <c r="B663" s="1" t="s">
        <v>12</v>
      </c>
      <c r="C663" s="1" t="s">
        <v>13</v>
      </c>
      <c r="D663" s="1" t="s">
        <v>14</v>
      </c>
      <c r="E663" s="1" t="n">
        <v>260</v>
      </c>
      <c r="F663" s="1" t="n">
        <v>280</v>
      </c>
      <c r="G663" s="1" t="n">
        <v>53</v>
      </c>
      <c r="H663" s="1" t="n">
        <v>95.6</v>
      </c>
      <c r="I663" s="1" t="n">
        <v>260</v>
      </c>
    </row>
    <row r="664" customFormat="false" ht="15.75" hidden="false" customHeight="true" outlineLevel="0" collapsed="false">
      <c r="A664" s="1" t="s">
        <v>743</v>
      </c>
      <c r="B664" s="1" t="s">
        <v>12</v>
      </c>
      <c r="C664" s="1" t="s">
        <v>13</v>
      </c>
      <c r="D664" s="1" t="s">
        <v>14</v>
      </c>
      <c r="E664" s="1" t="n">
        <v>538</v>
      </c>
      <c r="F664" s="1" t="n">
        <v>541</v>
      </c>
      <c r="G664" s="1" t="n">
        <v>53.2</v>
      </c>
      <c r="H664" s="1" t="n">
        <v>95.4</v>
      </c>
      <c r="I664" s="1" t="n">
        <v>260</v>
      </c>
    </row>
    <row r="665" customFormat="false" ht="15.75" hidden="false" customHeight="true" outlineLevel="0" collapsed="false">
      <c r="A665" s="1" t="s">
        <v>744</v>
      </c>
      <c r="B665" s="1" t="s">
        <v>12</v>
      </c>
      <c r="C665" s="1" t="s">
        <v>13</v>
      </c>
      <c r="D665" s="1" t="s">
        <v>14</v>
      </c>
      <c r="E665" s="1" t="n">
        <v>538</v>
      </c>
      <c r="F665" s="1" t="n">
        <v>541</v>
      </c>
      <c r="G665" s="1" t="n">
        <v>53.2</v>
      </c>
      <c r="H665" s="1" t="n">
        <v>95.4</v>
      </c>
      <c r="I665" s="1" t="n">
        <v>260</v>
      </c>
    </row>
    <row r="666" customFormat="false" ht="15.75" hidden="false" customHeight="true" outlineLevel="0" collapsed="false">
      <c r="A666" s="1" t="s">
        <v>745</v>
      </c>
      <c r="B666" s="1" t="s">
        <v>12</v>
      </c>
      <c r="C666" s="1" t="s">
        <v>13</v>
      </c>
      <c r="D666" s="1" t="s">
        <v>14</v>
      </c>
      <c r="E666" s="1" t="n">
        <v>548</v>
      </c>
      <c r="F666" s="1" t="n">
        <v>561</v>
      </c>
      <c r="G666" s="1" t="n">
        <v>53</v>
      </c>
      <c r="H666" s="1" t="n">
        <v>95.6</v>
      </c>
      <c r="I666" s="1" t="n">
        <v>260</v>
      </c>
    </row>
    <row r="667" customFormat="false" ht="15.75" hidden="false" customHeight="true" outlineLevel="0" collapsed="false">
      <c r="A667" s="1" t="s">
        <v>746</v>
      </c>
      <c r="B667" s="1" t="s">
        <v>12</v>
      </c>
      <c r="C667" s="1" t="s">
        <v>13</v>
      </c>
      <c r="D667" s="1" t="s">
        <v>14</v>
      </c>
      <c r="E667" s="1" t="n">
        <v>565</v>
      </c>
      <c r="F667" s="1" t="n">
        <v>567</v>
      </c>
      <c r="G667" s="1" t="n">
        <v>43</v>
      </c>
      <c r="H667" s="1" t="n">
        <v>95.8</v>
      </c>
      <c r="I667" s="1" t="n">
        <v>290</v>
      </c>
    </row>
    <row r="668" customFormat="false" ht="15.75" hidden="false" customHeight="true" outlineLevel="0" collapsed="false">
      <c r="A668" s="1" t="s">
        <v>747</v>
      </c>
      <c r="B668" s="1" t="s">
        <v>12</v>
      </c>
      <c r="C668" s="1" t="s">
        <v>13</v>
      </c>
      <c r="D668" s="1" t="s">
        <v>14</v>
      </c>
      <c r="E668" s="1" t="n">
        <v>538</v>
      </c>
      <c r="F668" s="1" t="n">
        <v>541</v>
      </c>
      <c r="G668" s="1" t="n">
        <v>53.2</v>
      </c>
      <c r="H668" s="1" t="n">
        <v>95.4</v>
      </c>
      <c r="I668" s="1" t="n">
        <v>260</v>
      </c>
    </row>
    <row r="669" customFormat="false" ht="15.75" hidden="false" customHeight="true" outlineLevel="0" collapsed="false">
      <c r="A669" s="1" t="s">
        <v>748</v>
      </c>
      <c r="B669" s="1" t="s">
        <v>23</v>
      </c>
      <c r="C669" s="1" t="s">
        <v>13</v>
      </c>
      <c r="D669" s="1" t="s">
        <v>14</v>
      </c>
      <c r="E669" s="1" t="n">
        <v>600</v>
      </c>
      <c r="F669" s="1" t="n">
        <v>610</v>
      </c>
      <c r="G669" s="1" t="n">
        <v>87.4</v>
      </c>
      <c r="H669" s="1" t="n">
        <v>96.75</v>
      </c>
      <c r="I669" s="1" t="n">
        <v>148</v>
      </c>
    </row>
    <row r="670" customFormat="false" ht="15.75" hidden="false" customHeight="true" outlineLevel="0" collapsed="false">
      <c r="A670" s="1" t="s">
        <v>749</v>
      </c>
      <c r="B670" s="1" t="s">
        <v>12</v>
      </c>
      <c r="C670" s="1" t="s">
        <v>47</v>
      </c>
      <c r="D670" s="1" t="s">
        <v>48</v>
      </c>
      <c r="E670" s="1" t="n">
        <v>20155</v>
      </c>
      <c r="F670" s="1" t="n">
        <v>20211</v>
      </c>
      <c r="G670" s="1" t="n">
        <v>54.97</v>
      </c>
      <c r="H670" s="1" t="n">
        <v>718.02</v>
      </c>
      <c r="I670" s="1" t="n">
        <v>1630</v>
      </c>
    </row>
    <row r="671" customFormat="false" ht="15.75" hidden="false" customHeight="true" outlineLevel="0" collapsed="false">
      <c r="A671" s="1" t="s">
        <v>750</v>
      </c>
      <c r="B671" s="1" t="s">
        <v>12</v>
      </c>
      <c r="C671" s="1" t="s">
        <v>21</v>
      </c>
      <c r="D671" s="1" t="s">
        <v>18</v>
      </c>
      <c r="E671" s="1" t="n">
        <v>1007</v>
      </c>
      <c r="F671" s="1" t="n">
        <v>1207</v>
      </c>
      <c r="G671" s="1" t="n">
        <v>63.4</v>
      </c>
      <c r="H671" s="1" t="n">
        <v>94</v>
      </c>
      <c r="I671" s="1" t="n">
        <v>1000</v>
      </c>
    </row>
    <row r="672" customFormat="false" ht="15.75" hidden="false" customHeight="true" outlineLevel="0" collapsed="false">
      <c r="A672" s="1" t="s">
        <v>751</v>
      </c>
      <c r="B672" s="1" t="s">
        <v>12</v>
      </c>
      <c r="C672" s="1" t="s">
        <v>13</v>
      </c>
      <c r="D672" s="1" t="s">
        <v>18</v>
      </c>
      <c r="E672" s="1" t="n">
        <v>499</v>
      </c>
      <c r="F672" s="1" t="n">
        <v>515</v>
      </c>
      <c r="G672" s="1" t="n">
        <v>97.5</v>
      </c>
      <c r="H672" s="1" t="n">
        <v>94.7</v>
      </c>
      <c r="I672" s="1" t="n">
        <v>4</v>
      </c>
    </row>
    <row r="673" customFormat="false" ht="15.75" hidden="false" customHeight="true" outlineLevel="0" collapsed="false">
      <c r="A673" s="1" t="s">
        <v>752</v>
      </c>
      <c r="B673" s="1" t="s">
        <v>12</v>
      </c>
      <c r="C673" s="1" t="s">
        <v>13</v>
      </c>
      <c r="D673" s="1" t="s">
        <v>14</v>
      </c>
      <c r="E673" s="1" t="n">
        <v>348</v>
      </c>
      <c r="F673" s="1" t="n">
        <v>351</v>
      </c>
      <c r="G673" s="1" t="n">
        <v>53.2</v>
      </c>
      <c r="H673" s="1" t="n">
        <v>91.5</v>
      </c>
      <c r="I673" s="1" t="n">
        <v>260</v>
      </c>
    </row>
    <row r="674" customFormat="false" ht="15.75" hidden="false" customHeight="true" outlineLevel="0" collapsed="false">
      <c r="A674" s="1" t="s">
        <v>753</v>
      </c>
      <c r="B674" s="1" t="s">
        <v>52</v>
      </c>
      <c r="C674" s="1" t="s">
        <v>21</v>
      </c>
      <c r="D674" s="1" t="s">
        <v>18</v>
      </c>
      <c r="E674" s="1" t="n">
        <v>591</v>
      </c>
      <c r="F674" s="1" t="n">
        <v>602</v>
      </c>
      <c r="G674" s="1" t="n">
        <v>35</v>
      </c>
      <c r="H674" s="1" t="n">
        <v>96.6</v>
      </c>
    </row>
    <row r="675" customFormat="false" ht="15.75" hidden="false" customHeight="true" outlineLevel="0" collapsed="false">
      <c r="A675" s="1" t="s">
        <v>754</v>
      </c>
      <c r="B675" s="1" t="s">
        <v>12</v>
      </c>
      <c r="C675" s="1" t="s">
        <v>13</v>
      </c>
      <c r="D675" s="1" t="s">
        <v>14</v>
      </c>
      <c r="E675" s="1" t="n">
        <v>564</v>
      </c>
      <c r="F675" s="1" t="n">
        <v>582</v>
      </c>
      <c r="G675" s="1" t="n">
        <v>53</v>
      </c>
      <c r="H675" s="1" t="n">
        <v>95.6</v>
      </c>
      <c r="I675" s="1" t="n">
        <v>260</v>
      </c>
    </row>
    <row r="676" customFormat="false" ht="15.75" hidden="false" customHeight="true" outlineLevel="0" collapsed="false">
      <c r="A676" s="1" t="s">
        <v>755</v>
      </c>
      <c r="B676" s="1" t="s">
        <v>71</v>
      </c>
      <c r="C676" s="1" t="s">
        <v>13</v>
      </c>
      <c r="D676" s="1" t="s">
        <v>18</v>
      </c>
      <c r="E676" s="1" t="n">
        <v>579</v>
      </c>
      <c r="F676" s="1" t="n">
        <v>604</v>
      </c>
      <c r="G676" s="1" t="n">
        <v>97.7</v>
      </c>
      <c r="H676" s="1" t="n">
        <v>96.5</v>
      </c>
      <c r="I676" s="1" t="n">
        <v>100</v>
      </c>
    </row>
    <row r="677" customFormat="false" ht="15.75" hidden="false" customHeight="true" outlineLevel="0" collapsed="false">
      <c r="A677" s="1" t="s">
        <v>756</v>
      </c>
      <c r="B677" s="1" t="s">
        <v>12</v>
      </c>
      <c r="C677" s="1" t="s">
        <v>13</v>
      </c>
      <c r="D677" s="1" t="s">
        <v>281</v>
      </c>
      <c r="E677" s="1" t="n">
        <v>497</v>
      </c>
      <c r="F677" s="1" t="n">
        <v>509</v>
      </c>
      <c r="G677" s="1" t="n">
        <v>97.4</v>
      </c>
      <c r="H677" s="1" t="n">
        <v>95</v>
      </c>
      <c r="I677" s="1" t="n">
        <v>15</v>
      </c>
    </row>
    <row r="678" customFormat="false" ht="15.75" hidden="false" customHeight="true" outlineLevel="0" collapsed="false">
      <c r="A678" s="1" t="s">
        <v>757</v>
      </c>
      <c r="B678" s="1" t="s">
        <v>12</v>
      </c>
      <c r="C678" s="1" t="s">
        <v>13</v>
      </c>
      <c r="D678" s="1" t="s">
        <v>14</v>
      </c>
      <c r="E678" s="1" t="n">
        <v>323</v>
      </c>
      <c r="F678" s="1" t="n">
        <v>342</v>
      </c>
      <c r="G678" s="1" t="n">
        <v>43</v>
      </c>
      <c r="H678" s="1" t="n">
        <v>95.8</v>
      </c>
      <c r="I678" s="1" t="n">
        <v>290</v>
      </c>
    </row>
    <row r="679" customFormat="false" ht="15.75" hidden="false" customHeight="true" outlineLevel="0" collapsed="false">
      <c r="A679" s="1" t="s">
        <v>758</v>
      </c>
      <c r="B679" s="1" t="s">
        <v>52</v>
      </c>
      <c r="C679" s="1" t="s">
        <v>37</v>
      </c>
      <c r="D679" s="1" t="s">
        <v>18</v>
      </c>
      <c r="E679" s="1" t="n">
        <v>35780</v>
      </c>
      <c r="F679" s="1" t="n">
        <v>35782</v>
      </c>
      <c r="G679" s="1" t="n">
        <v>0.08</v>
      </c>
      <c r="H679" s="1" t="n">
        <v>1436</v>
      </c>
      <c r="I679" s="1" t="n">
        <v>5300</v>
      </c>
    </row>
    <row r="680" customFormat="false" ht="15.75" hidden="false" customHeight="true" outlineLevel="0" collapsed="false">
      <c r="A680" s="1" t="s">
        <v>759</v>
      </c>
      <c r="B680" s="1" t="s">
        <v>12</v>
      </c>
      <c r="C680" s="1" t="s">
        <v>13</v>
      </c>
      <c r="D680" s="1" t="s">
        <v>18</v>
      </c>
      <c r="E680" s="1" t="n">
        <v>501</v>
      </c>
      <c r="F680" s="1" t="n">
        <v>502</v>
      </c>
      <c r="G680" s="1" t="n">
        <v>97.42</v>
      </c>
      <c r="H680" s="1" t="n">
        <v>94.65</v>
      </c>
      <c r="I680" s="1" t="n">
        <v>110</v>
      </c>
    </row>
    <row r="681" customFormat="false" ht="15.75" hidden="false" customHeight="true" outlineLevel="0" collapsed="false">
      <c r="A681" s="1" t="s">
        <v>760</v>
      </c>
      <c r="B681" s="1" t="s">
        <v>12</v>
      </c>
      <c r="C681" s="1" t="s">
        <v>13</v>
      </c>
      <c r="D681" s="1" t="s">
        <v>14</v>
      </c>
      <c r="E681" s="1" t="n">
        <v>549</v>
      </c>
      <c r="F681" s="1" t="n">
        <v>551</v>
      </c>
      <c r="G681" s="1" t="n">
        <v>53</v>
      </c>
      <c r="H681" s="1" t="n">
        <v>90.5</v>
      </c>
      <c r="I681" s="1" t="n">
        <v>227</v>
      </c>
    </row>
    <row r="682" customFormat="false" ht="15.75" hidden="false" customHeight="true" outlineLevel="0" collapsed="false">
      <c r="A682" s="1" t="s">
        <v>761</v>
      </c>
      <c r="B682" s="1" t="s">
        <v>12</v>
      </c>
      <c r="C682" s="1" t="s">
        <v>13</v>
      </c>
      <c r="D682" s="1" t="s">
        <v>14</v>
      </c>
      <c r="E682" s="1" t="n">
        <v>494</v>
      </c>
      <c r="F682" s="1" t="n">
        <v>496</v>
      </c>
      <c r="G682" s="1" t="n">
        <v>53.2</v>
      </c>
      <c r="H682" s="1" t="n">
        <v>94.5</v>
      </c>
      <c r="I682" s="1" t="n">
        <v>260</v>
      </c>
    </row>
    <row r="683" customFormat="false" ht="15.75" hidden="false" customHeight="true" outlineLevel="0" collapsed="false">
      <c r="A683" s="1" t="s">
        <v>762</v>
      </c>
      <c r="B683" s="1" t="s">
        <v>20</v>
      </c>
      <c r="C683" s="1" t="s">
        <v>47</v>
      </c>
      <c r="D683" s="1" t="s">
        <v>48</v>
      </c>
      <c r="E683" s="1" t="n">
        <v>19103</v>
      </c>
      <c r="F683" s="1" t="n">
        <v>19146</v>
      </c>
      <c r="G683" s="1" t="n">
        <v>64.8</v>
      </c>
      <c r="H683" s="1" t="n">
        <v>675.5</v>
      </c>
      <c r="I683" s="1" t="n">
        <v>1415</v>
      </c>
    </row>
    <row r="684" customFormat="false" ht="15.75" hidden="false" customHeight="true" outlineLevel="0" collapsed="false">
      <c r="A684" s="1" t="s">
        <v>763</v>
      </c>
      <c r="B684" s="1" t="s">
        <v>12</v>
      </c>
      <c r="C684" s="1" t="s">
        <v>13</v>
      </c>
      <c r="D684" s="1" t="s">
        <v>14</v>
      </c>
      <c r="E684" s="1" t="n">
        <v>538</v>
      </c>
      <c r="F684" s="1" t="n">
        <v>541</v>
      </c>
      <c r="G684" s="1" t="n">
        <v>53.2</v>
      </c>
      <c r="H684" s="1" t="n">
        <v>95.4</v>
      </c>
      <c r="I684" s="1" t="n">
        <v>260</v>
      </c>
    </row>
    <row r="685" customFormat="false" ht="15.75" hidden="false" customHeight="true" outlineLevel="0" collapsed="false">
      <c r="A685" s="1" t="s">
        <v>764</v>
      </c>
      <c r="B685" s="1" t="s">
        <v>12</v>
      </c>
      <c r="C685" s="1" t="s">
        <v>13</v>
      </c>
      <c r="D685" s="1" t="s">
        <v>14</v>
      </c>
      <c r="E685" s="1" t="n">
        <v>548</v>
      </c>
      <c r="F685" s="1" t="n">
        <v>561</v>
      </c>
      <c r="G685" s="1" t="n">
        <v>53</v>
      </c>
      <c r="H685" s="1" t="n">
        <v>95.6</v>
      </c>
      <c r="I685" s="1" t="n">
        <v>260</v>
      </c>
    </row>
    <row r="686" customFormat="false" ht="15.75" hidden="false" customHeight="true" outlineLevel="0" collapsed="false">
      <c r="A686" s="1" t="s">
        <v>765</v>
      </c>
      <c r="B686" s="1" t="s">
        <v>12</v>
      </c>
      <c r="C686" s="1" t="s">
        <v>13</v>
      </c>
      <c r="D686" s="1" t="s">
        <v>14</v>
      </c>
      <c r="E686" s="1" t="n">
        <v>549</v>
      </c>
      <c r="F686" s="1" t="n">
        <v>550</v>
      </c>
      <c r="G686" s="1" t="n">
        <v>53</v>
      </c>
      <c r="H686" s="1" t="n">
        <v>96.5</v>
      </c>
      <c r="I686" s="1" t="n">
        <v>227</v>
      </c>
    </row>
    <row r="687" customFormat="false" ht="15.75" hidden="false" customHeight="true" outlineLevel="0" collapsed="false">
      <c r="A687" s="1" t="s">
        <v>766</v>
      </c>
      <c r="B687" s="1" t="s">
        <v>767</v>
      </c>
      <c r="C687" s="1" t="s">
        <v>97</v>
      </c>
      <c r="D687" s="1" t="s">
        <v>18</v>
      </c>
      <c r="E687" s="1" t="n">
        <v>516</v>
      </c>
      <c r="F687" s="1" t="n">
        <v>523</v>
      </c>
      <c r="G687" s="1" t="n">
        <v>97.5</v>
      </c>
      <c r="H687" s="1" t="n">
        <v>94.5</v>
      </c>
      <c r="I687" s="1" t="n">
        <v>65</v>
      </c>
    </row>
    <row r="688" customFormat="false" ht="15.75" hidden="false" customHeight="true" outlineLevel="0" collapsed="false">
      <c r="A688" s="1" t="s">
        <v>768</v>
      </c>
      <c r="B688" s="1" t="s">
        <v>12</v>
      </c>
      <c r="C688" s="1" t="s">
        <v>13</v>
      </c>
      <c r="D688" s="1" t="s">
        <v>14</v>
      </c>
      <c r="E688" s="1" t="n">
        <v>539</v>
      </c>
      <c r="F688" s="1" t="n">
        <v>541</v>
      </c>
      <c r="G688" s="1" t="n">
        <v>53</v>
      </c>
      <c r="H688" s="1" t="n">
        <v>95.4</v>
      </c>
      <c r="I688" s="1" t="n">
        <v>260</v>
      </c>
    </row>
    <row r="689" customFormat="false" ht="15.75" hidden="false" customHeight="true" outlineLevel="0" collapsed="false">
      <c r="A689" s="1" t="s">
        <v>769</v>
      </c>
      <c r="B689" s="1" t="s">
        <v>12</v>
      </c>
      <c r="C689" s="1" t="s">
        <v>13</v>
      </c>
      <c r="D689" s="1" t="s">
        <v>14</v>
      </c>
      <c r="E689" s="1" t="n">
        <v>35777</v>
      </c>
      <c r="F689" s="1" t="n">
        <v>35795</v>
      </c>
      <c r="G689" s="1" t="n">
        <v>0.01</v>
      </c>
      <c r="H689" s="1" t="n">
        <v>1436.1</v>
      </c>
      <c r="I689" s="1" t="n">
        <v>3650</v>
      </c>
    </row>
    <row r="690" customFormat="false" ht="15.75" hidden="false" customHeight="true" outlineLevel="0" collapsed="false">
      <c r="A690" s="1" t="s">
        <v>770</v>
      </c>
      <c r="B690" s="1" t="s">
        <v>12</v>
      </c>
      <c r="C690" s="1" t="s">
        <v>13</v>
      </c>
      <c r="D690" s="1" t="s">
        <v>14</v>
      </c>
      <c r="E690" s="1" t="n">
        <v>538</v>
      </c>
      <c r="F690" s="1" t="n">
        <v>541</v>
      </c>
      <c r="G690" s="1" t="n">
        <v>53.2</v>
      </c>
      <c r="H690" s="1" t="n">
        <v>95.4</v>
      </c>
      <c r="I690" s="1" t="n">
        <v>260</v>
      </c>
    </row>
    <row r="691" customFormat="false" ht="15.75" hidden="false" customHeight="true" outlineLevel="0" collapsed="false">
      <c r="A691" s="1" t="s">
        <v>771</v>
      </c>
      <c r="B691" s="1" t="s">
        <v>52</v>
      </c>
      <c r="C691" s="1" t="s">
        <v>21</v>
      </c>
      <c r="D691" s="1" t="s">
        <v>18</v>
      </c>
      <c r="E691" s="1" t="n">
        <v>487</v>
      </c>
      <c r="F691" s="1" t="n">
        <v>491</v>
      </c>
      <c r="G691" s="1" t="n">
        <v>97.44</v>
      </c>
      <c r="H691" s="1" t="n">
        <v>94.39</v>
      </c>
    </row>
    <row r="692" customFormat="false" ht="15.75" hidden="false" customHeight="true" outlineLevel="0" collapsed="false">
      <c r="A692" s="1" t="s">
        <v>772</v>
      </c>
      <c r="B692" s="1" t="s">
        <v>12</v>
      </c>
      <c r="C692" s="1" t="s">
        <v>13</v>
      </c>
      <c r="D692" s="1" t="s">
        <v>14</v>
      </c>
      <c r="E692" s="1" t="n">
        <v>538</v>
      </c>
      <c r="F692" s="1" t="n">
        <v>541</v>
      </c>
      <c r="G692" s="1" t="n">
        <v>53.2</v>
      </c>
      <c r="H692" s="1" t="n">
        <v>95.4</v>
      </c>
      <c r="I692" s="1" t="n">
        <v>260</v>
      </c>
    </row>
    <row r="693" customFormat="false" ht="15.75" hidden="false" customHeight="true" outlineLevel="0" collapsed="false">
      <c r="A693" s="1" t="s">
        <v>773</v>
      </c>
      <c r="B693" s="1" t="s">
        <v>12</v>
      </c>
      <c r="C693" s="1" t="s">
        <v>13</v>
      </c>
      <c r="D693" s="1" t="s">
        <v>14</v>
      </c>
      <c r="E693" s="1" t="n">
        <v>548</v>
      </c>
      <c r="F693" s="1" t="n">
        <v>561</v>
      </c>
      <c r="G693" s="1" t="n">
        <v>53</v>
      </c>
      <c r="H693" s="1" t="n">
        <v>95.6</v>
      </c>
      <c r="I693" s="1" t="n">
        <v>260</v>
      </c>
    </row>
    <row r="694" customFormat="false" ht="15.75" hidden="false" customHeight="true" outlineLevel="0" collapsed="false">
      <c r="A694" s="1" t="s">
        <v>774</v>
      </c>
      <c r="B694" s="1" t="s">
        <v>52</v>
      </c>
      <c r="C694" s="1" t="s">
        <v>97</v>
      </c>
      <c r="D694" s="1" t="s">
        <v>14</v>
      </c>
      <c r="E694" s="1" t="n">
        <v>520</v>
      </c>
      <c r="F694" s="1" t="n">
        <v>539</v>
      </c>
      <c r="G694" s="1" t="n">
        <v>97.46</v>
      </c>
      <c r="H694" s="1" t="n">
        <v>95.22</v>
      </c>
      <c r="I694" s="1" t="n">
        <v>10</v>
      </c>
    </row>
    <row r="695" customFormat="false" ht="15.75" hidden="false" customHeight="true" outlineLevel="0" collapsed="false">
      <c r="A695" s="1" t="s">
        <v>775</v>
      </c>
      <c r="B695" s="1" t="s">
        <v>12</v>
      </c>
      <c r="C695" s="1" t="s">
        <v>37</v>
      </c>
      <c r="D695" s="1" t="s">
        <v>98</v>
      </c>
      <c r="E695" s="1" t="n">
        <v>1357</v>
      </c>
      <c r="F695" s="1" t="n">
        <v>70117</v>
      </c>
      <c r="G695" s="1" t="n">
        <v>29</v>
      </c>
      <c r="H695" s="1" t="n">
        <v>1433</v>
      </c>
      <c r="I695" s="1" t="n">
        <v>1360</v>
      </c>
    </row>
    <row r="696" customFormat="false" ht="15.75" hidden="false" customHeight="true" outlineLevel="0" collapsed="false">
      <c r="A696" s="1" t="s">
        <v>776</v>
      </c>
      <c r="B696" s="1" t="s">
        <v>12</v>
      </c>
      <c r="C696" s="1" t="s">
        <v>13</v>
      </c>
      <c r="D696" s="1" t="s">
        <v>18</v>
      </c>
      <c r="E696" s="1" t="n">
        <v>571</v>
      </c>
      <c r="F696" s="1" t="n">
        <v>589</v>
      </c>
      <c r="G696" s="1" t="n">
        <v>97.3</v>
      </c>
      <c r="H696" s="1" t="n">
        <v>96.2</v>
      </c>
      <c r="I696" s="1" t="n">
        <v>10</v>
      </c>
    </row>
    <row r="697" customFormat="false" ht="15.75" hidden="false" customHeight="true" outlineLevel="0" collapsed="false">
      <c r="A697" s="1" t="s">
        <v>777</v>
      </c>
      <c r="B697" s="1" t="s">
        <v>12</v>
      </c>
      <c r="C697" s="1" t="s">
        <v>97</v>
      </c>
      <c r="D697" s="1" t="s">
        <v>14</v>
      </c>
      <c r="E697" s="1" t="n">
        <v>1440</v>
      </c>
      <c r="F697" s="1" t="n">
        <v>1459</v>
      </c>
      <c r="G697" s="1" t="n">
        <v>101.4</v>
      </c>
      <c r="H697" s="1" t="n">
        <v>114.9</v>
      </c>
      <c r="I697" s="1" t="n">
        <v>29</v>
      </c>
    </row>
    <row r="698" customFormat="false" ht="15.75" hidden="false" customHeight="true" outlineLevel="0" collapsed="false">
      <c r="A698" s="1" t="s">
        <v>778</v>
      </c>
      <c r="B698" s="1" t="s">
        <v>63</v>
      </c>
      <c r="C698" s="1" t="s">
        <v>13</v>
      </c>
      <c r="D698" s="1" t="s">
        <v>14</v>
      </c>
      <c r="E698" s="1" t="n">
        <v>35782</v>
      </c>
      <c r="F698" s="1" t="n">
        <v>35791</v>
      </c>
      <c r="G698" s="1" t="n">
        <v>0.07</v>
      </c>
      <c r="H698" s="1" t="n">
        <v>1436.1</v>
      </c>
      <c r="I698" s="1" t="n">
        <v>5967</v>
      </c>
    </row>
    <row r="699" customFormat="false" ht="15.75" hidden="false" customHeight="true" outlineLevel="0" collapsed="false">
      <c r="A699" s="1" t="s">
        <v>779</v>
      </c>
      <c r="B699" s="1" t="s">
        <v>20</v>
      </c>
      <c r="C699" s="1" t="s">
        <v>47</v>
      </c>
      <c r="D699" s="1" t="s">
        <v>48</v>
      </c>
      <c r="E699" s="1" t="n">
        <v>19121</v>
      </c>
      <c r="F699" s="1" t="n">
        <v>19154</v>
      </c>
      <c r="G699" s="1" t="n">
        <v>64.8</v>
      </c>
      <c r="H699" s="1" t="n">
        <v>676.03</v>
      </c>
      <c r="I699" s="1" t="n">
        <v>1415</v>
      </c>
    </row>
    <row r="700" customFormat="false" ht="15.75" hidden="false" customHeight="true" outlineLevel="0" collapsed="false">
      <c r="A700" s="1" t="s">
        <v>780</v>
      </c>
      <c r="B700" s="1" t="s">
        <v>12</v>
      </c>
      <c r="C700" s="1" t="s">
        <v>13</v>
      </c>
      <c r="D700" s="1" t="s">
        <v>14</v>
      </c>
      <c r="E700" s="1" t="n">
        <v>565</v>
      </c>
      <c r="F700" s="1" t="n">
        <v>567</v>
      </c>
      <c r="G700" s="1" t="n">
        <v>43</v>
      </c>
      <c r="H700" s="1" t="n">
        <v>95</v>
      </c>
      <c r="I700" s="1" t="n">
        <v>290</v>
      </c>
    </row>
    <row r="701" customFormat="false" ht="15.75" hidden="false" customHeight="true" outlineLevel="0" collapsed="false">
      <c r="A701" s="1" t="s">
        <v>781</v>
      </c>
      <c r="B701" s="1" t="s">
        <v>12</v>
      </c>
      <c r="C701" s="1" t="s">
        <v>13</v>
      </c>
      <c r="D701" s="1" t="s">
        <v>14</v>
      </c>
      <c r="E701" s="1" t="n">
        <v>258</v>
      </c>
      <c r="F701" s="1" t="n">
        <v>280</v>
      </c>
      <c r="G701" s="1" t="n">
        <v>53</v>
      </c>
      <c r="H701" s="1" t="n">
        <v>95.6</v>
      </c>
      <c r="I701" s="1" t="n">
        <v>260</v>
      </c>
    </row>
    <row r="702" customFormat="false" ht="15.75" hidden="false" customHeight="true" outlineLevel="0" collapsed="false">
      <c r="A702" s="1" t="s">
        <v>782</v>
      </c>
      <c r="B702" s="1" t="s">
        <v>23</v>
      </c>
      <c r="C702" s="1" t="s">
        <v>13</v>
      </c>
      <c r="D702" s="1" t="s">
        <v>14</v>
      </c>
      <c r="E702" s="1" t="n">
        <v>1200</v>
      </c>
      <c r="F702" s="1" t="n">
        <v>1202</v>
      </c>
      <c r="G702" s="1" t="n">
        <v>87.4</v>
      </c>
      <c r="H702" s="1" t="n">
        <v>109.6</v>
      </c>
      <c r="I702" s="1" t="n">
        <v>148</v>
      </c>
    </row>
    <row r="703" customFormat="false" ht="15.75" hidden="false" customHeight="true" outlineLevel="0" collapsed="false">
      <c r="A703" s="1" t="s">
        <v>783</v>
      </c>
      <c r="B703" s="1" t="s">
        <v>23</v>
      </c>
      <c r="C703" s="1" t="s">
        <v>13</v>
      </c>
      <c r="D703" s="1" t="s">
        <v>14</v>
      </c>
      <c r="E703" s="1" t="n">
        <v>8063</v>
      </c>
      <c r="F703" s="1" t="n">
        <v>8069</v>
      </c>
      <c r="G703" s="1" t="n">
        <v>0.03</v>
      </c>
      <c r="H703" s="1" t="n">
        <v>287.93</v>
      </c>
      <c r="I703" s="1" t="n">
        <v>700</v>
      </c>
    </row>
    <row r="704" customFormat="false" ht="15.75" hidden="false" customHeight="true" outlineLevel="0" collapsed="false">
      <c r="A704" s="1" t="s">
        <v>784</v>
      </c>
      <c r="B704" s="1" t="s">
        <v>12</v>
      </c>
      <c r="C704" s="1" t="s">
        <v>13</v>
      </c>
      <c r="D704" s="1" t="s">
        <v>14</v>
      </c>
      <c r="E704" s="1" t="n">
        <v>548</v>
      </c>
      <c r="F704" s="1" t="n">
        <v>561</v>
      </c>
      <c r="G704" s="1" t="n">
        <v>53</v>
      </c>
      <c r="H704" s="1" t="n">
        <v>95.6</v>
      </c>
      <c r="I704" s="1" t="n">
        <v>260</v>
      </c>
    </row>
    <row r="705" customFormat="false" ht="15.75" hidden="false" customHeight="true" outlineLevel="0" collapsed="false">
      <c r="A705" s="1" t="s">
        <v>785</v>
      </c>
      <c r="B705" s="1" t="s">
        <v>786</v>
      </c>
      <c r="C705" s="1" t="s">
        <v>97</v>
      </c>
      <c r="D705" s="1" t="s">
        <v>58</v>
      </c>
      <c r="E705" s="1" t="n">
        <v>537</v>
      </c>
      <c r="F705" s="1" t="n">
        <v>550</v>
      </c>
      <c r="G705" s="1" t="n">
        <v>14.98</v>
      </c>
      <c r="H705" s="1" t="n">
        <v>95.48</v>
      </c>
      <c r="I705" s="1" t="n">
        <v>13</v>
      </c>
    </row>
    <row r="706" customFormat="false" ht="15.75" hidden="false" customHeight="true" outlineLevel="0" collapsed="false">
      <c r="A706" s="1" t="s">
        <v>787</v>
      </c>
      <c r="B706" s="1" t="s">
        <v>23</v>
      </c>
      <c r="C706" s="1" t="s">
        <v>13</v>
      </c>
      <c r="D706" s="1" t="s">
        <v>14</v>
      </c>
      <c r="E706" s="1" t="n">
        <v>1215</v>
      </c>
      <c r="F706" s="1" t="n">
        <v>1220</v>
      </c>
      <c r="G706" s="1" t="n">
        <v>87.4</v>
      </c>
      <c r="H706" s="1" t="n">
        <v>93.5</v>
      </c>
      <c r="I706" s="1" t="n">
        <v>148</v>
      </c>
    </row>
    <row r="707" customFormat="false" ht="15.75" hidden="false" customHeight="true" outlineLevel="0" collapsed="false">
      <c r="A707" s="1" t="s">
        <v>788</v>
      </c>
      <c r="B707" s="1" t="s">
        <v>12</v>
      </c>
      <c r="C707" s="1" t="s">
        <v>13</v>
      </c>
      <c r="D707" s="1" t="s">
        <v>14</v>
      </c>
      <c r="E707" s="1" t="n">
        <v>577</v>
      </c>
      <c r="F707" s="1" t="n">
        <v>581</v>
      </c>
      <c r="G707" s="1" t="n">
        <v>70</v>
      </c>
      <c r="H707" s="1" t="n">
        <v>96.1</v>
      </c>
      <c r="I707" s="1" t="n">
        <v>290</v>
      </c>
    </row>
    <row r="708" customFormat="false" ht="15.75" hidden="false" customHeight="true" outlineLevel="0" collapsed="false">
      <c r="A708" s="1" t="s">
        <v>789</v>
      </c>
      <c r="B708" s="1" t="s">
        <v>52</v>
      </c>
      <c r="C708" s="1" t="s">
        <v>354</v>
      </c>
      <c r="D708" s="1" t="s">
        <v>48</v>
      </c>
      <c r="E708" s="1" t="n">
        <v>21520</v>
      </c>
      <c r="F708" s="1" t="n">
        <v>21549</v>
      </c>
      <c r="G708" s="1" t="n">
        <v>55</v>
      </c>
      <c r="H708" s="1" t="n">
        <v>773.2</v>
      </c>
      <c r="I708" s="1" t="n">
        <v>800</v>
      </c>
    </row>
    <row r="709" customFormat="false" ht="15.75" hidden="false" customHeight="true" outlineLevel="0" collapsed="false">
      <c r="A709" s="1" t="s">
        <v>790</v>
      </c>
      <c r="B709" s="1" t="s">
        <v>539</v>
      </c>
      <c r="C709" s="1" t="s">
        <v>21</v>
      </c>
      <c r="D709" s="1" t="s">
        <v>18</v>
      </c>
      <c r="E709" s="1" t="n">
        <v>352</v>
      </c>
      <c r="F709" s="1" t="n">
        <v>603</v>
      </c>
      <c r="G709" s="1" t="n">
        <v>141.12</v>
      </c>
      <c r="H709" s="1" t="n">
        <v>93.9</v>
      </c>
      <c r="I709" s="1" t="n">
        <v>300</v>
      </c>
    </row>
    <row r="710" customFormat="false" ht="15.75" hidden="false" customHeight="true" outlineLevel="0" collapsed="false">
      <c r="A710" s="1" t="s">
        <v>791</v>
      </c>
      <c r="B710" s="1" t="s">
        <v>23</v>
      </c>
      <c r="C710" s="1" t="s">
        <v>13</v>
      </c>
      <c r="D710" s="1" t="s">
        <v>14</v>
      </c>
      <c r="E710" s="1" t="n">
        <v>1200</v>
      </c>
      <c r="F710" s="1" t="n">
        <v>1202</v>
      </c>
      <c r="G710" s="1" t="n">
        <v>87.4</v>
      </c>
      <c r="H710" s="1" t="n">
        <v>109.3</v>
      </c>
      <c r="I710" s="1" t="n">
        <v>148</v>
      </c>
    </row>
    <row r="711" customFormat="false" ht="15.75" hidden="false" customHeight="true" outlineLevel="0" collapsed="false">
      <c r="A711" s="1" t="s">
        <v>792</v>
      </c>
      <c r="B711" s="1" t="s">
        <v>20</v>
      </c>
      <c r="C711" s="1" t="s">
        <v>13</v>
      </c>
      <c r="D711" s="1" t="s">
        <v>14</v>
      </c>
      <c r="E711" s="1" t="n">
        <v>1493</v>
      </c>
      <c r="F711" s="1" t="n">
        <v>1508</v>
      </c>
      <c r="G711" s="1" t="n">
        <v>82.49</v>
      </c>
      <c r="H711" s="1" t="n">
        <v>116</v>
      </c>
      <c r="I711" s="1" t="n">
        <v>270</v>
      </c>
    </row>
    <row r="712" customFormat="false" ht="15.75" hidden="false" customHeight="true" outlineLevel="0" collapsed="false">
      <c r="A712" s="1" t="s">
        <v>793</v>
      </c>
      <c r="B712" s="1" t="s">
        <v>29</v>
      </c>
      <c r="C712" s="1" t="s">
        <v>13</v>
      </c>
      <c r="D712" s="1" t="s">
        <v>14</v>
      </c>
      <c r="E712" s="1" t="n">
        <v>35781</v>
      </c>
      <c r="F712" s="1" t="n">
        <v>35793</v>
      </c>
      <c r="G712" s="1" t="n">
        <v>0.05</v>
      </c>
      <c r="H712" s="1" t="n">
        <v>1436.1</v>
      </c>
    </row>
    <row r="713" customFormat="false" ht="15.75" hidden="false" customHeight="true" outlineLevel="0" collapsed="false">
      <c r="A713" s="1" t="s">
        <v>794</v>
      </c>
      <c r="B713" s="1" t="s">
        <v>12</v>
      </c>
      <c r="C713" s="1" t="s">
        <v>13</v>
      </c>
      <c r="D713" s="1" t="s">
        <v>14</v>
      </c>
      <c r="E713" s="1" t="n">
        <v>538</v>
      </c>
      <c r="F713" s="1" t="n">
        <v>541</v>
      </c>
      <c r="G713" s="1" t="n">
        <v>53.2</v>
      </c>
      <c r="H713" s="1" t="n">
        <v>95.4</v>
      </c>
      <c r="I713" s="1" t="n">
        <v>260</v>
      </c>
    </row>
    <row r="714" customFormat="false" ht="15.75" hidden="false" customHeight="true" outlineLevel="0" collapsed="false">
      <c r="A714" s="1" t="s">
        <v>795</v>
      </c>
      <c r="B714" s="1" t="s">
        <v>23</v>
      </c>
      <c r="C714" s="1" t="s">
        <v>13</v>
      </c>
      <c r="D714" s="1" t="s">
        <v>14</v>
      </c>
      <c r="E714" s="1" t="n">
        <v>590</v>
      </c>
      <c r="F714" s="1" t="n">
        <v>600</v>
      </c>
      <c r="G714" s="1" t="n">
        <v>87.4</v>
      </c>
      <c r="H714" s="1" t="n">
        <v>96.4</v>
      </c>
      <c r="I714" s="1" t="n">
        <v>148</v>
      </c>
    </row>
    <row r="715" customFormat="false" ht="15.75" hidden="false" customHeight="true" outlineLevel="0" collapsed="false">
      <c r="A715" s="1" t="s">
        <v>796</v>
      </c>
      <c r="B715" s="1" t="s">
        <v>71</v>
      </c>
      <c r="C715" s="1" t="s">
        <v>13</v>
      </c>
      <c r="D715" s="1" t="s">
        <v>14</v>
      </c>
      <c r="E715" s="1" t="n">
        <v>35861</v>
      </c>
      <c r="F715" s="1" t="n">
        <v>35924</v>
      </c>
      <c r="G715" s="1" t="n">
        <v>0.02</v>
      </c>
      <c r="H715" s="1" t="n">
        <v>1441.5</v>
      </c>
      <c r="I715" s="1" t="n">
        <v>4500</v>
      </c>
    </row>
    <row r="716" customFormat="false" ht="15.75" hidden="false" customHeight="true" outlineLevel="0" collapsed="false">
      <c r="A716" s="1" t="s">
        <v>797</v>
      </c>
      <c r="B716" s="1" t="s">
        <v>12</v>
      </c>
      <c r="C716" s="1" t="s">
        <v>21</v>
      </c>
      <c r="D716" s="1" t="s">
        <v>58</v>
      </c>
      <c r="E716" s="1" t="n">
        <v>459</v>
      </c>
      <c r="F716" s="1" t="n">
        <v>474</v>
      </c>
      <c r="G716" s="1" t="n">
        <v>51.6</v>
      </c>
      <c r="H716" s="1" t="n">
        <v>93.9</v>
      </c>
    </row>
    <row r="717" customFormat="false" ht="15.75" hidden="false" customHeight="true" outlineLevel="0" collapsed="false">
      <c r="A717" s="1" t="s">
        <v>798</v>
      </c>
      <c r="B717" s="1" t="s">
        <v>12</v>
      </c>
      <c r="C717" s="1" t="s">
        <v>21</v>
      </c>
      <c r="D717" s="1" t="s">
        <v>18</v>
      </c>
      <c r="E717" s="1" t="n">
        <v>569</v>
      </c>
      <c r="F717" s="1" t="n">
        <v>579</v>
      </c>
      <c r="G717" s="1" t="n">
        <v>54</v>
      </c>
      <c r="H717" s="1" t="n">
        <v>96.15</v>
      </c>
    </row>
    <row r="718" customFormat="false" ht="15.75" hidden="false" customHeight="true" outlineLevel="0" collapsed="false">
      <c r="A718" s="1" t="s">
        <v>799</v>
      </c>
      <c r="B718" s="1" t="s">
        <v>12</v>
      </c>
      <c r="C718" s="1" t="s">
        <v>13</v>
      </c>
      <c r="D718" s="1" t="s">
        <v>14</v>
      </c>
      <c r="E718" s="1" t="n">
        <v>565</v>
      </c>
      <c r="F718" s="1" t="n">
        <v>567</v>
      </c>
      <c r="G718" s="1" t="n">
        <v>43</v>
      </c>
      <c r="H718" s="1" t="n">
        <v>95.8</v>
      </c>
      <c r="I718" s="1" t="n">
        <v>290</v>
      </c>
    </row>
    <row r="719" customFormat="false" ht="15.75" hidden="false" customHeight="true" outlineLevel="0" collapsed="false">
      <c r="A719" s="1" t="s">
        <v>800</v>
      </c>
      <c r="B719" s="1" t="s">
        <v>12</v>
      </c>
      <c r="C719" s="1" t="s">
        <v>13</v>
      </c>
      <c r="D719" s="1" t="s">
        <v>14</v>
      </c>
      <c r="E719" s="1" t="n">
        <v>348</v>
      </c>
      <c r="F719" s="1" t="n">
        <v>351</v>
      </c>
      <c r="G719" s="1" t="n">
        <v>53.2</v>
      </c>
      <c r="H719" s="1" t="n">
        <v>91.5</v>
      </c>
      <c r="I719" s="1" t="n">
        <v>260</v>
      </c>
    </row>
    <row r="720" customFormat="false" ht="15.75" hidden="false" customHeight="true" outlineLevel="0" collapsed="false">
      <c r="A720" s="1" t="s">
        <v>801</v>
      </c>
      <c r="B720" s="1" t="s">
        <v>12</v>
      </c>
      <c r="C720" s="1" t="s">
        <v>13</v>
      </c>
      <c r="D720" s="1" t="s">
        <v>14</v>
      </c>
      <c r="E720" s="1" t="n">
        <v>548</v>
      </c>
      <c r="F720" s="1" t="n">
        <v>551</v>
      </c>
      <c r="G720" s="1" t="n">
        <v>53</v>
      </c>
      <c r="H720" s="1" t="n">
        <v>95.6</v>
      </c>
      <c r="I720" s="1" t="n">
        <v>260</v>
      </c>
    </row>
    <row r="721" customFormat="false" ht="15.75" hidden="false" customHeight="true" outlineLevel="0" collapsed="false">
      <c r="A721" s="1" t="s">
        <v>802</v>
      </c>
      <c r="B721" s="1" t="s">
        <v>12</v>
      </c>
      <c r="C721" s="1" t="s">
        <v>13</v>
      </c>
      <c r="D721" s="1" t="s">
        <v>14</v>
      </c>
      <c r="E721" s="1" t="n">
        <v>548</v>
      </c>
      <c r="F721" s="1" t="n">
        <v>551</v>
      </c>
      <c r="G721" s="1" t="n">
        <v>53</v>
      </c>
      <c r="H721" s="1" t="n">
        <v>95.6</v>
      </c>
      <c r="I721" s="1" t="n">
        <v>227</v>
      </c>
    </row>
    <row r="722" customFormat="false" ht="15.75" hidden="false" customHeight="true" outlineLevel="0" collapsed="false">
      <c r="A722" s="1" t="s">
        <v>803</v>
      </c>
      <c r="B722" s="1" t="s">
        <v>96</v>
      </c>
      <c r="C722" s="1" t="s">
        <v>97</v>
      </c>
      <c r="D722" s="1" t="s">
        <v>161</v>
      </c>
      <c r="E722" s="1" t="n">
        <v>535</v>
      </c>
      <c r="F722" s="1" t="n">
        <v>562</v>
      </c>
      <c r="G722" s="1" t="n">
        <v>97.6</v>
      </c>
      <c r="H722" s="1" t="n">
        <v>95.5</v>
      </c>
      <c r="I722" s="1" t="n">
        <v>1</v>
      </c>
    </row>
    <row r="723" customFormat="false" ht="15.75" hidden="false" customHeight="true" outlineLevel="0" collapsed="false">
      <c r="A723" s="1" t="s">
        <v>804</v>
      </c>
      <c r="B723" s="1" t="s">
        <v>12</v>
      </c>
      <c r="C723" s="1" t="s">
        <v>13</v>
      </c>
      <c r="D723" s="1" t="s">
        <v>14</v>
      </c>
      <c r="E723" s="1" t="n">
        <v>443</v>
      </c>
      <c r="F723" s="1" t="n">
        <v>446</v>
      </c>
      <c r="G723" s="1" t="n">
        <v>53.2</v>
      </c>
      <c r="H723" s="1" t="n">
        <v>93.5</v>
      </c>
      <c r="I723" s="1" t="n">
        <v>260</v>
      </c>
    </row>
    <row r="724" customFormat="false" ht="15.75" hidden="false" customHeight="true" outlineLevel="0" collapsed="false">
      <c r="A724" s="1" t="s">
        <v>805</v>
      </c>
      <c r="B724" s="1" t="s">
        <v>23</v>
      </c>
      <c r="C724" s="1" t="s">
        <v>13</v>
      </c>
      <c r="D724" s="1" t="s">
        <v>14</v>
      </c>
      <c r="E724" s="1" t="n">
        <v>733</v>
      </c>
      <c r="F724" s="1" t="n">
        <v>738</v>
      </c>
      <c r="G724" s="1" t="n">
        <v>87.1</v>
      </c>
      <c r="H724" s="1" t="n">
        <v>99.4</v>
      </c>
      <c r="I724" s="1" t="n">
        <v>148</v>
      </c>
    </row>
    <row r="725" customFormat="false" ht="15.75" hidden="false" customHeight="true" outlineLevel="0" collapsed="false">
      <c r="A725" s="1" t="s">
        <v>806</v>
      </c>
      <c r="B725" s="1" t="s">
        <v>12</v>
      </c>
      <c r="C725" s="1" t="s">
        <v>13</v>
      </c>
      <c r="D725" s="1" t="s">
        <v>14</v>
      </c>
      <c r="E725" s="1" t="n">
        <v>506</v>
      </c>
      <c r="F725" s="1" t="n">
        <v>543</v>
      </c>
      <c r="G725" s="1" t="n">
        <v>97.5</v>
      </c>
      <c r="H725" s="1" t="n">
        <v>94.3</v>
      </c>
      <c r="I725" s="1" t="n">
        <v>2</v>
      </c>
    </row>
    <row r="726" customFormat="false" ht="15.75" hidden="false" customHeight="true" outlineLevel="0" collapsed="false">
      <c r="A726" s="1" t="s">
        <v>807</v>
      </c>
      <c r="B726" s="1" t="s">
        <v>12</v>
      </c>
      <c r="C726" s="1" t="s">
        <v>13</v>
      </c>
      <c r="D726" s="1" t="s">
        <v>14</v>
      </c>
      <c r="E726" s="1" t="n">
        <v>548</v>
      </c>
      <c r="F726" s="1" t="n">
        <v>561</v>
      </c>
      <c r="G726" s="1" t="n">
        <v>53</v>
      </c>
      <c r="H726" s="1" t="n">
        <v>95.6</v>
      </c>
      <c r="I726" s="1" t="n">
        <v>260</v>
      </c>
    </row>
    <row r="727" customFormat="false" ht="15.75" hidden="false" customHeight="true" outlineLevel="0" collapsed="false">
      <c r="A727" s="1" t="s">
        <v>808</v>
      </c>
      <c r="B727" s="1" t="s">
        <v>12</v>
      </c>
      <c r="C727" s="1" t="s">
        <v>13</v>
      </c>
      <c r="D727" s="1" t="s">
        <v>14</v>
      </c>
      <c r="E727" s="1" t="n">
        <v>548</v>
      </c>
      <c r="F727" s="1" t="n">
        <v>561</v>
      </c>
      <c r="G727" s="1" t="n">
        <v>53</v>
      </c>
      <c r="H727" s="1" t="n">
        <v>95.6</v>
      </c>
      <c r="I727" s="1" t="n">
        <v>260</v>
      </c>
    </row>
    <row r="728" customFormat="false" ht="15.75" hidden="false" customHeight="true" outlineLevel="0" collapsed="false">
      <c r="A728" s="1" t="s">
        <v>809</v>
      </c>
      <c r="B728" s="1" t="s">
        <v>12</v>
      </c>
      <c r="C728" s="1" t="s">
        <v>13</v>
      </c>
      <c r="D728" s="1" t="s">
        <v>14</v>
      </c>
      <c r="E728" s="1" t="n">
        <v>548</v>
      </c>
      <c r="F728" s="1" t="n">
        <v>561</v>
      </c>
      <c r="G728" s="1" t="n">
        <v>53</v>
      </c>
      <c r="H728" s="1" t="n">
        <v>95.6</v>
      </c>
      <c r="I728" s="1" t="n">
        <v>260</v>
      </c>
    </row>
    <row r="729" customFormat="false" ht="15.75" hidden="false" customHeight="true" outlineLevel="0" collapsed="false">
      <c r="A729" s="1" t="s">
        <v>810</v>
      </c>
      <c r="B729" s="1" t="s">
        <v>12</v>
      </c>
      <c r="C729" s="1" t="s">
        <v>13</v>
      </c>
      <c r="D729" s="1" t="s">
        <v>14</v>
      </c>
      <c r="E729" s="1" t="n">
        <v>348</v>
      </c>
      <c r="F729" s="1" t="n">
        <v>351</v>
      </c>
      <c r="G729" s="1" t="n">
        <v>53.2</v>
      </c>
      <c r="H729" s="1" t="n">
        <v>91.5</v>
      </c>
      <c r="I729" s="1" t="n">
        <v>260</v>
      </c>
    </row>
    <row r="730" customFormat="false" ht="15.75" hidden="false" customHeight="true" outlineLevel="0" collapsed="false">
      <c r="A730" s="1" t="s">
        <v>811</v>
      </c>
      <c r="B730" s="1" t="s">
        <v>20</v>
      </c>
      <c r="C730" s="1" t="s">
        <v>13</v>
      </c>
      <c r="D730" s="1" t="s">
        <v>14</v>
      </c>
      <c r="E730" s="1" t="n">
        <v>607</v>
      </c>
      <c r="F730" s="1" t="n">
        <v>625</v>
      </c>
      <c r="G730" s="1" t="n">
        <v>97.99</v>
      </c>
      <c r="H730" s="1" t="n">
        <v>96.99</v>
      </c>
      <c r="I730" s="1" t="n">
        <v>6</v>
      </c>
    </row>
    <row r="731" customFormat="false" ht="15.75" hidden="false" customHeight="true" outlineLevel="0" collapsed="false">
      <c r="A731" s="1" t="s">
        <v>812</v>
      </c>
      <c r="B731" s="1" t="s">
        <v>12</v>
      </c>
      <c r="C731" s="1" t="s">
        <v>13</v>
      </c>
      <c r="D731" s="1" t="s">
        <v>14</v>
      </c>
      <c r="E731" s="1" t="n">
        <v>565</v>
      </c>
      <c r="F731" s="1" t="n">
        <v>567</v>
      </c>
      <c r="G731" s="1" t="n">
        <v>43</v>
      </c>
      <c r="H731" s="1" t="n">
        <v>95.8</v>
      </c>
      <c r="I731" s="1" t="n">
        <v>260</v>
      </c>
    </row>
    <row r="732" customFormat="false" ht="15.75" hidden="false" customHeight="true" outlineLevel="0" collapsed="false">
      <c r="A732" s="1" t="s">
        <v>813</v>
      </c>
      <c r="B732" s="1" t="s">
        <v>12</v>
      </c>
      <c r="C732" s="1" t="s">
        <v>13</v>
      </c>
      <c r="D732" s="1" t="s">
        <v>14</v>
      </c>
      <c r="E732" s="1" t="n">
        <v>564</v>
      </c>
      <c r="F732" s="1" t="n">
        <v>582</v>
      </c>
      <c r="G732" s="1" t="n">
        <v>53</v>
      </c>
      <c r="H732" s="1" t="n">
        <v>95.6</v>
      </c>
      <c r="I732" s="1" t="n">
        <v>260</v>
      </c>
    </row>
    <row r="733" customFormat="false" ht="15.75" hidden="false" customHeight="true" outlineLevel="0" collapsed="false">
      <c r="A733" s="1" t="s">
        <v>814</v>
      </c>
      <c r="B733" s="1" t="s">
        <v>12</v>
      </c>
      <c r="C733" s="1" t="s">
        <v>21</v>
      </c>
      <c r="D733" s="1" t="s">
        <v>18</v>
      </c>
      <c r="E733" s="1" t="n">
        <v>35779</v>
      </c>
      <c r="F733" s="1" t="n">
        <v>35785</v>
      </c>
      <c r="G733" s="1" t="n">
        <v>5.9</v>
      </c>
      <c r="H733" s="1" t="n">
        <v>1436.11</v>
      </c>
      <c r="I733" s="1" t="n">
        <v>4500</v>
      </c>
    </row>
    <row r="734" customFormat="false" ht="15.75" hidden="false" customHeight="true" outlineLevel="0" collapsed="false">
      <c r="A734" s="1" t="s">
        <v>815</v>
      </c>
      <c r="B734" s="1" t="s">
        <v>12</v>
      </c>
      <c r="C734" s="1" t="s">
        <v>13</v>
      </c>
      <c r="D734" s="1" t="s">
        <v>18</v>
      </c>
      <c r="E734" s="1" t="n">
        <v>527</v>
      </c>
      <c r="F734" s="1" t="n">
        <v>536</v>
      </c>
      <c r="G734" s="1" t="n">
        <v>97.5</v>
      </c>
      <c r="I734" s="1" t="n">
        <v>10</v>
      </c>
    </row>
    <row r="735" customFormat="false" ht="15.75" hidden="false" customHeight="true" outlineLevel="0" collapsed="false">
      <c r="A735" s="1" t="s">
        <v>816</v>
      </c>
      <c r="B735" s="1" t="s">
        <v>12</v>
      </c>
      <c r="C735" s="1" t="s">
        <v>13</v>
      </c>
      <c r="D735" s="1" t="s">
        <v>14</v>
      </c>
      <c r="E735" s="1" t="n">
        <v>360</v>
      </c>
      <c r="F735" s="1" t="n">
        <v>363</v>
      </c>
      <c r="G735" s="1" t="n">
        <v>43</v>
      </c>
      <c r="H735" s="1" t="n">
        <v>91.6</v>
      </c>
      <c r="I735" s="1" t="n">
        <v>800</v>
      </c>
    </row>
    <row r="736" customFormat="false" ht="15.75" hidden="false" customHeight="true" outlineLevel="0" collapsed="false">
      <c r="A736" s="1" t="s">
        <v>817</v>
      </c>
      <c r="B736" s="1" t="s">
        <v>12</v>
      </c>
      <c r="C736" s="1" t="s">
        <v>13</v>
      </c>
      <c r="D736" s="1" t="s">
        <v>14</v>
      </c>
      <c r="E736" s="1" t="n">
        <v>565</v>
      </c>
      <c r="F736" s="1" t="n">
        <v>567</v>
      </c>
      <c r="G736" s="1" t="n">
        <v>43</v>
      </c>
      <c r="H736" s="1" t="n">
        <v>95.8</v>
      </c>
      <c r="I736" s="1" t="n">
        <v>290</v>
      </c>
    </row>
    <row r="737" customFormat="false" ht="15.75" hidden="false" customHeight="true" outlineLevel="0" collapsed="false">
      <c r="A737" s="1" t="s">
        <v>818</v>
      </c>
      <c r="B737" s="1" t="s">
        <v>112</v>
      </c>
      <c r="C737" s="1" t="s">
        <v>13</v>
      </c>
      <c r="D737" s="1" t="s">
        <v>18</v>
      </c>
      <c r="E737" s="1" t="n">
        <v>497</v>
      </c>
      <c r="F737" s="1" t="n">
        <v>510</v>
      </c>
      <c r="G737" s="1" t="n">
        <v>97.4</v>
      </c>
      <c r="H737" s="1" t="n">
        <v>95.1</v>
      </c>
      <c r="I737" s="1" t="n">
        <v>42</v>
      </c>
    </row>
    <row r="738" customFormat="false" ht="15.75" hidden="false" customHeight="true" outlineLevel="0" collapsed="false">
      <c r="A738" s="1" t="s">
        <v>819</v>
      </c>
      <c r="B738" s="1" t="s">
        <v>23</v>
      </c>
      <c r="C738" s="1" t="s">
        <v>13</v>
      </c>
      <c r="D738" s="1" t="s">
        <v>14</v>
      </c>
      <c r="E738" s="1" t="n">
        <v>1215</v>
      </c>
      <c r="F738" s="1" t="n">
        <v>1220</v>
      </c>
      <c r="G738" s="1" t="n">
        <v>87.4</v>
      </c>
      <c r="H738" s="1" t="n">
        <v>93.5</v>
      </c>
      <c r="I738" s="1" t="n">
        <v>148</v>
      </c>
    </row>
    <row r="739" customFormat="false" ht="15.75" hidden="false" customHeight="true" outlineLevel="0" collapsed="false">
      <c r="A739" s="1" t="s">
        <v>820</v>
      </c>
      <c r="B739" s="1" t="s">
        <v>137</v>
      </c>
      <c r="C739" s="1" t="s">
        <v>37</v>
      </c>
      <c r="D739" s="1" t="s">
        <v>18</v>
      </c>
      <c r="E739" s="1" t="n">
        <v>735</v>
      </c>
      <c r="F739" s="1" t="n">
        <v>760</v>
      </c>
      <c r="G739" s="1" t="n">
        <v>25</v>
      </c>
      <c r="H739" s="1" t="n">
        <v>99.8</v>
      </c>
      <c r="I739" s="1" t="n">
        <v>110</v>
      </c>
    </row>
    <row r="740" customFormat="false" ht="15.75" hidden="false" customHeight="true" outlineLevel="0" collapsed="false">
      <c r="A740" s="1" t="s">
        <v>821</v>
      </c>
      <c r="B740" s="1" t="s">
        <v>12</v>
      </c>
      <c r="C740" s="1" t="s">
        <v>13</v>
      </c>
      <c r="D740" s="1" t="s">
        <v>14</v>
      </c>
      <c r="E740" s="1" t="n">
        <v>258</v>
      </c>
      <c r="F740" s="1" t="n">
        <v>280</v>
      </c>
      <c r="G740" s="1" t="n">
        <v>53</v>
      </c>
      <c r="H740" s="1" t="n">
        <v>95.6</v>
      </c>
      <c r="I740" s="1" t="n">
        <v>260</v>
      </c>
    </row>
    <row r="741" customFormat="false" ht="15.75" hidden="false" customHeight="true" outlineLevel="0" collapsed="false">
      <c r="A741" s="1" t="s">
        <v>822</v>
      </c>
      <c r="B741" s="1" t="s">
        <v>12</v>
      </c>
      <c r="C741" s="1" t="s">
        <v>13</v>
      </c>
      <c r="D741" s="1" t="s">
        <v>14</v>
      </c>
      <c r="E741" s="1" t="n">
        <v>577</v>
      </c>
      <c r="F741" s="1" t="n">
        <v>581</v>
      </c>
      <c r="G741" s="1" t="n">
        <v>70</v>
      </c>
      <c r="H741" s="1" t="n">
        <v>96.1</v>
      </c>
      <c r="I741" s="1" t="n">
        <v>290</v>
      </c>
    </row>
    <row r="742" customFormat="false" ht="15.75" hidden="false" customHeight="true" outlineLevel="0" collapsed="false">
      <c r="A742" s="1" t="s">
        <v>823</v>
      </c>
      <c r="B742" s="1" t="s">
        <v>12</v>
      </c>
      <c r="C742" s="1" t="s">
        <v>13</v>
      </c>
      <c r="D742" s="1" t="s">
        <v>14</v>
      </c>
      <c r="E742" s="1" t="n">
        <v>548</v>
      </c>
      <c r="F742" s="1" t="n">
        <v>561</v>
      </c>
      <c r="G742" s="1" t="n">
        <v>53</v>
      </c>
      <c r="H742" s="1" t="n">
        <v>95.6</v>
      </c>
      <c r="I742" s="1" t="n">
        <v>260</v>
      </c>
    </row>
    <row r="743" customFormat="false" ht="15.75" hidden="false" customHeight="true" outlineLevel="0" collapsed="false">
      <c r="A743" s="1" t="s">
        <v>824</v>
      </c>
      <c r="B743" s="1" t="s">
        <v>12</v>
      </c>
      <c r="C743" s="1" t="s">
        <v>13</v>
      </c>
      <c r="D743" s="1" t="s">
        <v>14</v>
      </c>
      <c r="E743" s="1" t="n">
        <v>548</v>
      </c>
      <c r="F743" s="1" t="n">
        <v>551</v>
      </c>
      <c r="G743" s="1" t="n">
        <v>53</v>
      </c>
      <c r="H743" s="1" t="n">
        <v>95.6</v>
      </c>
      <c r="I743" s="1" t="n">
        <v>260</v>
      </c>
    </row>
    <row r="744" customFormat="false" ht="15.75" hidden="false" customHeight="true" outlineLevel="0" collapsed="false">
      <c r="A744" s="1" t="s">
        <v>825</v>
      </c>
      <c r="B744" s="1" t="s">
        <v>23</v>
      </c>
      <c r="C744" s="1" t="s">
        <v>13</v>
      </c>
      <c r="D744" s="1" t="s">
        <v>14</v>
      </c>
      <c r="E744" s="1" t="n">
        <v>1215</v>
      </c>
      <c r="F744" s="1" t="n">
        <v>1220</v>
      </c>
      <c r="G744" s="1" t="n">
        <v>87.4</v>
      </c>
      <c r="H744" s="1" t="n">
        <v>93.6</v>
      </c>
      <c r="I744" s="1" t="n">
        <v>148</v>
      </c>
    </row>
    <row r="745" customFormat="false" ht="15.75" hidden="false" customHeight="true" outlineLevel="0" collapsed="false">
      <c r="A745" s="1" t="s">
        <v>826</v>
      </c>
      <c r="B745" s="1" t="s">
        <v>12</v>
      </c>
      <c r="C745" s="1" t="s">
        <v>13</v>
      </c>
      <c r="D745" s="1" t="s">
        <v>14</v>
      </c>
      <c r="E745" s="1" t="n">
        <v>548</v>
      </c>
      <c r="F745" s="1" t="n">
        <v>561</v>
      </c>
      <c r="G745" s="1" t="n">
        <v>53</v>
      </c>
      <c r="H745" s="1" t="n">
        <v>95.6</v>
      </c>
      <c r="I745" s="1" t="n">
        <v>260</v>
      </c>
    </row>
    <row r="746" customFormat="false" ht="15.75" hidden="false" customHeight="true" outlineLevel="0" collapsed="false">
      <c r="A746" s="1" t="s">
        <v>827</v>
      </c>
      <c r="B746" s="1" t="s">
        <v>12</v>
      </c>
      <c r="C746" s="1" t="s">
        <v>13</v>
      </c>
      <c r="D746" s="1" t="s">
        <v>14</v>
      </c>
      <c r="E746" s="1" t="n">
        <v>580</v>
      </c>
      <c r="F746" s="1" t="n">
        <v>583</v>
      </c>
      <c r="G746" s="1" t="n">
        <v>70</v>
      </c>
      <c r="H746" s="1" t="n">
        <v>96.2</v>
      </c>
      <c r="I746" s="1" t="n">
        <v>290</v>
      </c>
    </row>
    <row r="747" customFormat="false" ht="15.75" hidden="false" customHeight="true" outlineLevel="0" collapsed="false">
      <c r="A747" s="1" t="s">
        <v>828</v>
      </c>
      <c r="B747" s="1" t="s">
        <v>12</v>
      </c>
      <c r="C747" s="1" t="s">
        <v>13</v>
      </c>
      <c r="D747" s="1" t="s">
        <v>18</v>
      </c>
      <c r="E747" s="1" t="n">
        <v>564</v>
      </c>
      <c r="F747" s="1" t="n">
        <v>576</v>
      </c>
      <c r="G747" s="1" t="n">
        <v>36.9</v>
      </c>
      <c r="H747" s="1" t="n">
        <v>94.2</v>
      </c>
      <c r="I747" s="1" t="n">
        <v>10</v>
      </c>
    </row>
    <row r="748" customFormat="false" ht="15.75" hidden="false" customHeight="true" outlineLevel="0" collapsed="false">
      <c r="A748" s="1" t="s">
        <v>829</v>
      </c>
      <c r="B748" s="1" t="s">
        <v>12</v>
      </c>
      <c r="C748" s="1" t="s">
        <v>13</v>
      </c>
      <c r="D748" s="1" t="s">
        <v>14</v>
      </c>
      <c r="E748" s="1" t="n">
        <v>539</v>
      </c>
      <c r="F748" s="1" t="n">
        <v>541</v>
      </c>
      <c r="G748" s="1" t="n">
        <v>53</v>
      </c>
      <c r="H748" s="1" t="n">
        <v>95.4</v>
      </c>
      <c r="I748" s="1" t="n">
        <v>260</v>
      </c>
    </row>
    <row r="749" customFormat="false" ht="15.75" hidden="false" customHeight="true" outlineLevel="0" collapsed="false">
      <c r="A749" s="1" t="s">
        <v>830</v>
      </c>
      <c r="B749" s="1" t="s">
        <v>23</v>
      </c>
      <c r="C749" s="1" t="s">
        <v>13</v>
      </c>
      <c r="D749" s="1" t="s">
        <v>14</v>
      </c>
      <c r="E749" s="1" t="n">
        <v>600</v>
      </c>
      <c r="F749" s="1" t="n">
        <v>610</v>
      </c>
      <c r="G749" s="1" t="n">
        <v>87.4</v>
      </c>
      <c r="H749" s="1" t="n">
        <v>96.75</v>
      </c>
      <c r="I749" s="1" t="n">
        <v>148</v>
      </c>
    </row>
    <row r="750" customFormat="false" ht="15.75" hidden="false" customHeight="true" outlineLevel="0" collapsed="false">
      <c r="A750" s="1" t="s">
        <v>831</v>
      </c>
      <c r="B750" s="1" t="s">
        <v>12</v>
      </c>
      <c r="C750" s="1" t="s">
        <v>13</v>
      </c>
      <c r="D750" s="1" t="s">
        <v>14</v>
      </c>
      <c r="E750" s="1" t="n">
        <v>443</v>
      </c>
      <c r="F750" s="1" t="n">
        <v>446</v>
      </c>
      <c r="G750" s="1" t="n">
        <v>53.2</v>
      </c>
      <c r="H750" s="1" t="n">
        <v>93.5</v>
      </c>
      <c r="I750" s="1" t="n">
        <v>260</v>
      </c>
    </row>
    <row r="751" customFormat="false" ht="15.75" hidden="false" customHeight="true" outlineLevel="0" collapsed="false">
      <c r="A751" s="1" t="s">
        <v>832</v>
      </c>
      <c r="B751" s="1" t="s">
        <v>12</v>
      </c>
      <c r="C751" s="1" t="s">
        <v>13</v>
      </c>
      <c r="D751" s="1" t="s">
        <v>14</v>
      </c>
      <c r="E751" s="1" t="n">
        <v>490</v>
      </c>
      <c r="F751" s="1" t="n">
        <v>492</v>
      </c>
      <c r="G751" s="1" t="n">
        <v>53.2</v>
      </c>
      <c r="H751" s="1" t="n">
        <v>94.4</v>
      </c>
      <c r="I751" s="1" t="n">
        <v>260</v>
      </c>
    </row>
    <row r="752" customFormat="false" ht="15.75" hidden="false" customHeight="true" outlineLevel="0" collapsed="false">
      <c r="A752" s="1" t="s">
        <v>833</v>
      </c>
      <c r="B752" s="1" t="s">
        <v>23</v>
      </c>
      <c r="C752" s="1" t="s">
        <v>13</v>
      </c>
      <c r="D752" s="1" t="s">
        <v>14</v>
      </c>
      <c r="E752" s="1" t="n">
        <v>1200</v>
      </c>
      <c r="F752" s="1" t="n">
        <v>1202</v>
      </c>
      <c r="G752" s="1" t="n">
        <v>87.9</v>
      </c>
      <c r="H752" s="1" t="n">
        <v>109.3</v>
      </c>
      <c r="I752" s="1" t="n">
        <v>148</v>
      </c>
    </row>
    <row r="753" customFormat="false" ht="15.75" hidden="false" customHeight="true" outlineLevel="0" collapsed="false">
      <c r="A753" s="1" t="s">
        <v>834</v>
      </c>
      <c r="B753" s="1" t="s">
        <v>12</v>
      </c>
      <c r="C753" s="1" t="s">
        <v>13</v>
      </c>
      <c r="D753" s="1" t="s">
        <v>14</v>
      </c>
      <c r="E753" s="1" t="n">
        <v>565</v>
      </c>
      <c r="F753" s="1" t="n">
        <v>567</v>
      </c>
      <c r="G753" s="1" t="n">
        <v>43</v>
      </c>
      <c r="H753" s="1" t="n">
        <v>95.8</v>
      </c>
      <c r="I753" s="1" t="n">
        <v>290</v>
      </c>
    </row>
    <row r="754" customFormat="false" ht="15.75" hidden="false" customHeight="true" outlineLevel="0" collapsed="false">
      <c r="A754" s="1" t="s">
        <v>835</v>
      </c>
      <c r="B754" s="1" t="s">
        <v>12</v>
      </c>
      <c r="C754" s="1" t="s">
        <v>13</v>
      </c>
      <c r="D754" s="1" t="s">
        <v>18</v>
      </c>
      <c r="E754" s="1" t="n">
        <v>493</v>
      </c>
      <c r="F754" s="1" t="n">
        <v>510</v>
      </c>
      <c r="G754" s="1" t="n">
        <v>97.5</v>
      </c>
      <c r="H754" s="1" t="n">
        <v>94.6</v>
      </c>
      <c r="I754" s="1" t="n">
        <v>10</v>
      </c>
    </row>
    <row r="755" customFormat="false" ht="15.75" hidden="false" customHeight="true" outlineLevel="0" collapsed="false">
      <c r="A755" s="1" t="s">
        <v>836</v>
      </c>
      <c r="B755" s="1" t="s">
        <v>12</v>
      </c>
      <c r="C755" s="1" t="s">
        <v>13</v>
      </c>
      <c r="D755" s="1" t="s">
        <v>14</v>
      </c>
      <c r="E755" s="1" t="n">
        <v>561</v>
      </c>
      <c r="F755" s="1" t="n">
        <v>564</v>
      </c>
      <c r="G755" s="1" t="n">
        <v>97.7</v>
      </c>
      <c r="H755" s="1" t="n">
        <v>95.9</v>
      </c>
      <c r="I755" s="1" t="n">
        <v>260</v>
      </c>
    </row>
    <row r="756" customFormat="false" ht="15.75" hidden="false" customHeight="true" outlineLevel="0" collapsed="false">
      <c r="A756" s="1" t="s">
        <v>837</v>
      </c>
      <c r="B756" s="1" t="s">
        <v>36</v>
      </c>
      <c r="C756" s="1" t="s">
        <v>37</v>
      </c>
      <c r="D756" s="1" t="s">
        <v>18</v>
      </c>
      <c r="E756" s="1" t="n">
        <v>520</v>
      </c>
      <c r="F756" s="1" t="n">
        <v>533</v>
      </c>
      <c r="G756" s="1" t="n">
        <v>97.5</v>
      </c>
      <c r="H756" s="1" t="n">
        <v>94.6</v>
      </c>
      <c r="I756" s="1" t="n">
        <v>17.5</v>
      </c>
    </row>
    <row r="757" customFormat="false" ht="15.75" hidden="false" customHeight="true" outlineLevel="0" collapsed="false">
      <c r="A757" s="1" t="s">
        <v>838</v>
      </c>
      <c r="B757" s="1" t="s">
        <v>12</v>
      </c>
      <c r="C757" s="1" t="s">
        <v>13</v>
      </c>
      <c r="D757" s="1" t="s">
        <v>18</v>
      </c>
      <c r="E757" s="1" t="n">
        <v>507</v>
      </c>
      <c r="F757" s="1" t="n">
        <v>523</v>
      </c>
      <c r="G757" s="1" t="n">
        <v>97.5</v>
      </c>
      <c r="H757" s="1" t="n">
        <v>94.2</v>
      </c>
      <c r="I757" s="1" t="n">
        <v>4</v>
      </c>
    </row>
    <row r="758" customFormat="false" ht="15.75" hidden="false" customHeight="true" outlineLevel="0" collapsed="false">
      <c r="A758" s="1" t="s">
        <v>839</v>
      </c>
      <c r="B758" s="1" t="s">
        <v>12</v>
      </c>
      <c r="C758" s="1" t="s">
        <v>13</v>
      </c>
      <c r="D758" s="1" t="s">
        <v>14</v>
      </c>
      <c r="E758" s="1" t="n">
        <v>539</v>
      </c>
      <c r="F758" s="1" t="n">
        <v>541</v>
      </c>
      <c r="G758" s="1" t="n">
        <v>53.2</v>
      </c>
      <c r="H758" s="1" t="n">
        <v>95.4</v>
      </c>
      <c r="I758" s="1" t="n">
        <v>260</v>
      </c>
    </row>
    <row r="759" customFormat="false" ht="15.75" hidden="false" customHeight="true" outlineLevel="0" collapsed="false">
      <c r="A759" s="1" t="s">
        <v>840</v>
      </c>
      <c r="B759" s="1" t="s">
        <v>12</v>
      </c>
      <c r="C759" s="1" t="s">
        <v>13</v>
      </c>
      <c r="D759" s="1" t="s">
        <v>14</v>
      </c>
      <c r="E759" s="1" t="n">
        <v>35930</v>
      </c>
      <c r="F759" s="1" t="n">
        <v>35933</v>
      </c>
      <c r="G759" s="1" t="n">
        <v>0.02</v>
      </c>
      <c r="H759" s="1" t="n">
        <v>1443.51</v>
      </c>
      <c r="I759" s="1" t="n">
        <v>5900</v>
      </c>
    </row>
    <row r="760" customFormat="false" ht="15.75" hidden="false" customHeight="true" outlineLevel="0" collapsed="false">
      <c r="A760" s="1" t="s">
        <v>841</v>
      </c>
      <c r="B760" s="1" t="s">
        <v>12</v>
      </c>
      <c r="C760" s="1" t="s">
        <v>13</v>
      </c>
      <c r="D760" s="1" t="s">
        <v>14</v>
      </c>
      <c r="E760" s="1" t="n">
        <v>538</v>
      </c>
      <c r="F760" s="1" t="n">
        <v>541</v>
      </c>
      <c r="G760" s="1" t="n">
        <v>53.2</v>
      </c>
      <c r="H760" s="1" t="n">
        <v>95.4</v>
      </c>
      <c r="I760" s="1" t="n">
        <v>260</v>
      </c>
    </row>
    <row r="761" customFormat="false" ht="15.75" hidden="false" customHeight="true" outlineLevel="0" collapsed="false">
      <c r="A761" s="1" t="s">
        <v>842</v>
      </c>
      <c r="B761" s="1" t="s">
        <v>12</v>
      </c>
      <c r="C761" s="1" t="s">
        <v>13</v>
      </c>
      <c r="D761" s="1" t="s">
        <v>14</v>
      </c>
      <c r="E761" s="1" t="n">
        <v>548</v>
      </c>
      <c r="F761" s="1" t="n">
        <v>551</v>
      </c>
      <c r="G761" s="1" t="n">
        <v>53</v>
      </c>
      <c r="H761" s="1" t="n">
        <v>95.6</v>
      </c>
      <c r="I761" s="1" t="n">
        <v>227</v>
      </c>
    </row>
    <row r="762" customFormat="false" ht="15.75" hidden="false" customHeight="true" outlineLevel="0" collapsed="false">
      <c r="A762" s="1" t="s">
        <v>843</v>
      </c>
      <c r="B762" s="1" t="s">
        <v>844</v>
      </c>
      <c r="C762" s="1" t="s">
        <v>37</v>
      </c>
      <c r="D762" s="1" t="s">
        <v>14</v>
      </c>
      <c r="E762" s="1" t="n">
        <v>35778</v>
      </c>
      <c r="F762" s="1" t="n">
        <v>35794</v>
      </c>
      <c r="G762" s="1" t="n">
        <v>0.04</v>
      </c>
      <c r="H762" s="1" t="n">
        <v>1436.08</v>
      </c>
      <c r="I762" s="1" t="n">
        <v>3250</v>
      </c>
    </row>
    <row r="763" customFormat="false" ht="15.75" hidden="false" customHeight="true" outlineLevel="0" collapsed="false">
      <c r="A763" s="1" t="s">
        <v>845</v>
      </c>
      <c r="B763" s="1" t="s">
        <v>12</v>
      </c>
      <c r="C763" s="1" t="s">
        <v>13</v>
      </c>
      <c r="D763" s="1" t="s">
        <v>18</v>
      </c>
      <c r="E763" s="1" t="n">
        <v>569</v>
      </c>
      <c r="F763" s="1" t="n">
        <v>587</v>
      </c>
      <c r="G763" s="1" t="n">
        <v>97.7</v>
      </c>
      <c r="H763" s="1" t="n">
        <v>96.2</v>
      </c>
      <c r="I763" s="1" t="n">
        <v>10</v>
      </c>
    </row>
    <row r="764" customFormat="false" ht="15.75" hidden="false" customHeight="true" outlineLevel="0" collapsed="false">
      <c r="A764" s="1" t="s">
        <v>846</v>
      </c>
      <c r="B764" s="1" t="s">
        <v>52</v>
      </c>
      <c r="C764" s="1" t="s">
        <v>13</v>
      </c>
      <c r="D764" s="1" t="s">
        <v>379</v>
      </c>
      <c r="E764" s="1" t="n">
        <v>502</v>
      </c>
      <c r="F764" s="1" t="n">
        <v>516</v>
      </c>
      <c r="G764" s="1" t="n">
        <v>97.4</v>
      </c>
      <c r="H764" s="1" t="n">
        <v>95.1</v>
      </c>
      <c r="I764" s="1" t="n">
        <v>50</v>
      </c>
    </row>
    <row r="765" customFormat="false" ht="15.75" hidden="false" customHeight="true" outlineLevel="0" collapsed="false">
      <c r="A765" s="1" t="s">
        <v>847</v>
      </c>
      <c r="B765" s="1" t="s">
        <v>186</v>
      </c>
      <c r="C765" s="1" t="s">
        <v>13</v>
      </c>
      <c r="D765" s="1" t="s">
        <v>14</v>
      </c>
      <c r="E765" s="1" t="n">
        <v>35781</v>
      </c>
      <c r="F765" s="1" t="n">
        <v>35790</v>
      </c>
      <c r="G765" s="1" t="n">
        <v>0.01</v>
      </c>
      <c r="H765" s="1" t="n">
        <v>1436.08</v>
      </c>
      <c r="I765" s="1" t="n">
        <v>5910</v>
      </c>
    </row>
    <row r="766" customFormat="false" ht="15.75" hidden="false" customHeight="true" outlineLevel="0" collapsed="false">
      <c r="A766" s="1" t="s">
        <v>848</v>
      </c>
      <c r="B766" s="1" t="s">
        <v>12</v>
      </c>
      <c r="C766" s="1" t="s">
        <v>13</v>
      </c>
      <c r="D766" s="1" t="s">
        <v>14</v>
      </c>
      <c r="E766" s="1" t="n">
        <v>348</v>
      </c>
      <c r="F766" s="1" t="n">
        <v>351</v>
      </c>
      <c r="G766" s="1" t="n">
        <v>53.2</v>
      </c>
      <c r="H766" s="1" t="n">
        <v>91.5</v>
      </c>
      <c r="I766" s="1" t="n">
        <v>260</v>
      </c>
    </row>
    <row r="767" customFormat="false" ht="15.75" hidden="false" customHeight="true" outlineLevel="0" collapsed="false">
      <c r="A767" s="1" t="s">
        <v>849</v>
      </c>
      <c r="B767" s="1" t="s">
        <v>23</v>
      </c>
      <c r="C767" s="1" t="s">
        <v>13</v>
      </c>
      <c r="D767" s="1" t="s">
        <v>14</v>
      </c>
      <c r="E767" s="1" t="n">
        <v>1200</v>
      </c>
      <c r="F767" s="1" t="n">
        <v>1202</v>
      </c>
      <c r="G767" s="1" t="n">
        <v>87.4</v>
      </c>
      <c r="H767" s="1" t="n">
        <v>109.6</v>
      </c>
      <c r="I767" s="1" t="n">
        <v>148</v>
      </c>
    </row>
    <row r="768" customFormat="false" ht="15.75" hidden="false" customHeight="true" outlineLevel="0" collapsed="false">
      <c r="A768" s="1" t="s">
        <v>850</v>
      </c>
      <c r="B768" s="1" t="s">
        <v>12</v>
      </c>
      <c r="C768" s="1" t="s">
        <v>13</v>
      </c>
      <c r="D768" s="1" t="s">
        <v>14</v>
      </c>
      <c r="E768" s="1" t="n">
        <v>258</v>
      </c>
      <c r="F768" s="1" t="n">
        <v>280</v>
      </c>
      <c r="G768" s="1" t="n">
        <v>53</v>
      </c>
      <c r="H768" s="1" t="n">
        <v>95.6</v>
      </c>
      <c r="I768" s="1" t="n">
        <v>260</v>
      </c>
    </row>
    <row r="769" customFormat="false" ht="15.75" hidden="false" customHeight="true" outlineLevel="0" collapsed="false">
      <c r="A769" s="1" t="s">
        <v>851</v>
      </c>
      <c r="B769" s="1" t="s">
        <v>12</v>
      </c>
      <c r="C769" s="1" t="s">
        <v>13</v>
      </c>
      <c r="D769" s="1" t="s">
        <v>14</v>
      </c>
      <c r="E769" s="1" t="n">
        <v>538</v>
      </c>
      <c r="F769" s="1" t="n">
        <v>541</v>
      </c>
      <c r="G769" s="1" t="n">
        <v>53.2</v>
      </c>
      <c r="H769" s="1" t="n">
        <v>95.4</v>
      </c>
      <c r="I769" s="1" t="n">
        <v>260</v>
      </c>
    </row>
    <row r="770" customFormat="false" ht="15.75" hidden="false" customHeight="true" outlineLevel="0" collapsed="false">
      <c r="A770" s="1" t="s">
        <v>852</v>
      </c>
      <c r="B770" s="1" t="s">
        <v>29</v>
      </c>
      <c r="C770" s="1" t="s">
        <v>13</v>
      </c>
      <c r="D770" s="1" t="s">
        <v>14</v>
      </c>
      <c r="E770" s="1" t="n">
        <v>35783</v>
      </c>
      <c r="F770" s="1" t="n">
        <v>35791</v>
      </c>
      <c r="G770" s="1" t="n">
        <v>0.13</v>
      </c>
      <c r="H770" s="1" t="n">
        <v>1436.12</v>
      </c>
      <c r="I770" s="1" t="n">
        <v>6007</v>
      </c>
    </row>
    <row r="771" customFormat="false" ht="15.75" hidden="false" customHeight="true" outlineLevel="0" collapsed="false">
      <c r="A771" s="1" t="s">
        <v>853</v>
      </c>
      <c r="B771" s="1" t="s">
        <v>52</v>
      </c>
      <c r="C771" s="1" t="s">
        <v>37</v>
      </c>
      <c r="D771" s="1" t="s">
        <v>98</v>
      </c>
      <c r="E771" s="1" t="n">
        <v>493</v>
      </c>
      <c r="F771" s="1" t="n">
        <v>509</v>
      </c>
      <c r="G771" s="1" t="n">
        <v>97.3</v>
      </c>
      <c r="H771" s="1" t="n">
        <v>95.1</v>
      </c>
      <c r="I771" s="1" t="n">
        <v>700</v>
      </c>
    </row>
    <row r="772" customFormat="false" ht="15.75" hidden="false" customHeight="true" outlineLevel="0" collapsed="false">
      <c r="A772" s="1" t="s">
        <v>854</v>
      </c>
      <c r="B772" s="1" t="s">
        <v>12</v>
      </c>
      <c r="C772" s="1" t="s">
        <v>13</v>
      </c>
      <c r="D772" s="1" t="s">
        <v>14</v>
      </c>
      <c r="E772" s="1" t="n">
        <v>577</v>
      </c>
      <c r="F772" s="1" t="n">
        <v>580</v>
      </c>
      <c r="G772" s="1" t="n">
        <v>70</v>
      </c>
      <c r="H772" s="1" t="n">
        <v>96.1</v>
      </c>
      <c r="I772" s="1" t="n">
        <v>290</v>
      </c>
    </row>
    <row r="773" customFormat="false" ht="15.75" hidden="false" customHeight="true" outlineLevel="0" collapsed="false">
      <c r="A773" s="1" t="s">
        <v>855</v>
      </c>
      <c r="B773" s="1" t="s">
        <v>12</v>
      </c>
      <c r="C773" s="1" t="s">
        <v>13</v>
      </c>
      <c r="D773" s="1" t="s">
        <v>14</v>
      </c>
      <c r="E773" s="1" t="n">
        <v>549</v>
      </c>
      <c r="F773" s="1" t="n">
        <v>551</v>
      </c>
      <c r="G773" s="1" t="n">
        <v>53</v>
      </c>
      <c r="H773" s="1" t="n">
        <v>95.6</v>
      </c>
      <c r="I773" s="1" t="n">
        <v>227</v>
      </c>
    </row>
    <row r="774" customFormat="false" ht="15.75" hidden="false" customHeight="true" outlineLevel="0" collapsed="false">
      <c r="A774" s="1" t="s">
        <v>856</v>
      </c>
      <c r="B774" s="1" t="s">
        <v>12</v>
      </c>
      <c r="C774" s="1" t="s">
        <v>13</v>
      </c>
      <c r="D774" s="1" t="s">
        <v>14</v>
      </c>
      <c r="E774" s="1" t="n">
        <v>539</v>
      </c>
      <c r="F774" s="1" t="n">
        <v>541</v>
      </c>
      <c r="G774" s="1" t="n">
        <v>53</v>
      </c>
      <c r="H774" s="1" t="n">
        <v>95.4</v>
      </c>
      <c r="I774" s="1" t="n">
        <v>260</v>
      </c>
    </row>
    <row r="775" customFormat="false" ht="15.75" hidden="false" customHeight="true" outlineLevel="0" collapsed="false">
      <c r="A775" s="1" t="s">
        <v>857</v>
      </c>
      <c r="B775" s="1" t="s">
        <v>52</v>
      </c>
      <c r="C775" s="1" t="s">
        <v>13</v>
      </c>
      <c r="D775" s="1" t="s">
        <v>14</v>
      </c>
      <c r="E775" s="1" t="n">
        <v>495</v>
      </c>
      <c r="F775" s="1" t="n">
        <v>509</v>
      </c>
      <c r="G775" s="1" t="n">
        <v>97.3</v>
      </c>
      <c r="H775" s="1" t="n">
        <v>94.6</v>
      </c>
      <c r="I775" s="1" t="n">
        <v>9</v>
      </c>
    </row>
    <row r="776" customFormat="false" ht="15.75" hidden="false" customHeight="true" outlineLevel="0" collapsed="false">
      <c r="A776" s="1" t="s">
        <v>858</v>
      </c>
      <c r="B776" s="1" t="s">
        <v>12</v>
      </c>
      <c r="C776" s="1" t="s">
        <v>13</v>
      </c>
      <c r="D776" s="1" t="s">
        <v>14</v>
      </c>
      <c r="E776" s="1" t="n">
        <v>348</v>
      </c>
      <c r="F776" s="1" t="n">
        <v>351</v>
      </c>
      <c r="G776" s="1" t="n">
        <v>53.2</v>
      </c>
      <c r="H776" s="1" t="n">
        <v>91.5</v>
      </c>
      <c r="I776" s="1" t="n">
        <v>260</v>
      </c>
    </row>
    <row r="777" customFormat="false" ht="15.75" hidden="false" customHeight="true" outlineLevel="0" collapsed="false">
      <c r="A777" s="1" t="s">
        <v>859</v>
      </c>
      <c r="B777" s="1" t="s">
        <v>12</v>
      </c>
      <c r="C777" s="1" t="s">
        <v>13</v>
      </c>
      <c r="D777" s="1" t="s">
        <v>14</v>
      </c>
      <c r="E777" s="1" t="n">
        <v>348</v>
      </c>
      <c r="F777" s="1" t="n">
        <v>351</v>
      </c>
      <c r="G777" s="1" t="n">
        <v>53.2</v>
      </c>
      <c r="H777" s="1" t="n">
        <v>91.5</v>
      </c>
      <c r="I777" s="1" t="n">
        <v>260</v>
      </c>
    </row>
    <row r="778" customFormat="false" ht="15.75" hidden="false" customHeight="true" outlineLevel="0" collapsed="false">
      <c r="A778" s="1" t="s">
        <v>860</v>
      </c>
      <c r="B778" s="1" t="s">
        <v>12</v>
      </c>
      <c r="C778" s="1" t="s">
        <v>13</v>
      </c>
      <c r="D778" s="1" t="s">
        <v>14</v>
      </c>
      <c r="E778" s="1" t="n">
        <v>539</v>
      </c>
      <c r="F778" s="1" t="n">
        <v>541</v>
      </c>
      <c r="G778" s="1" t="n">
        <v>53.2</v>
      </c>
      <c r="H778" s="1" t="n">
        <v>95.4</v>
      </c>
      <c r="I778" s="1" t="n">
        <v>260</v>
      </c>
    </row>
    <row r="779" customFormat="false" ht="15.75" hidden="false" customHeight="true" outlineLevel="0" collapsed="false">
      <c r="A779" s="1" t="s">
        <v>861</v>
      </c>
      <c r="B779" s="1" t="s">
        <v>12</v>
      </c>
      <c r="C779" s="1" t="s">
        <v>13</v>
      </c>
      <c r="D779" s="1" t="s">
        <v>14</v>
      </c>
      <c r="E779" s="1" t="n">
        <v>539</v>
      </c>
      <c r="F779" s="1" t="n">
        <v>541</v>
      </c>
      <c r="G779" s="1" t="n">
        <v>53</v>
      </c>
      <c r="H779" s="1" t="n">
        <v>95.4</v>
      </c>
      <c r="I779" s="1" t="n">
        <v>260</v>
      </c>
    </row>
    <row r="780" customFormat="false" ht="15.75" hidden="false" customHeight="true" outlineLevel="0" collapsed="false">
      <c r="A780" s="1" t="s">
        <v>862</v>
      </c>
      <c r="B780" s="1" t="s">
        <v>20</v>
      </c>
      <c r="C780" s="1" t="s">
        <v>37</v>
      </c>
      <c r="D780" s="1" t="s">
        <v>14</v>
      </c>
      <c r="E780" s="1" t="n">
        <v>35772</v>
      </c>
      <c r="F780" s="1" t="n">
        <v>35801</v>
      </c>
      <c r="G780" s="1" t="n">
        <v>0.22</v>
      </c>
      <c r="H780" s="1" t="n">
        <v>1436.09</v>
      </c>
      <c r="I780" s="1" t="n">
        <v>1282</v>
      </c>
    </row>
    <row r="781" customFormat="false" ht="15.75" hidden="false" customHeight="true" outlineLevel="0" collapsed="false">
      <c r="A781" s="1" t="s">
        <v>863</v>
      </c>
      <c r="B781" s="1" t="s">
        <v>12</v>
      </c>
      <c r="C781" s="1" t="s">
        <v>13</v>
      </c>
      <c r="D781" s="1" t="s">
        <v>14</v>
      </c>
      <c r="E781" s="1" t="n">
        <v>512</v>
      </c>
      <c r="F781" s="1" t="n">
        <v>536</v>
      </c>
      <c r="G781" s="1" t="n">
        <v>97.5</v>
      </c>
      <c r="H781" s="1" t="n">
        <v>94.3</v>
      </c>
      <c r="I781" s="1" t="n">
        <v>2</v>
      </c>
    </row>
    <row r="782" customFormat="false" ht="15.75" hidden="false" customHeight="true" outlineLevel="0" collapsed="false">
      <c r="A782" s="1" t="s">
        <v>864</v>
      </c>
      <c r="B782" s="1" t="s">
        <v>12</v>
      </c>
      <c r="C782" s="1" t="s">
        <v>13</v>
      </c>
      <c r="D782" s="1" t="s">
        <v>18</v>
      </c>
      <c r="E782" s="1" t="n">
        <v>519</v>
      </c>
      <c r="F782" s="1" t="n">
        <v>535</v>
      </c>
      <c r="G782" s="1" t="n">
        <v>97.5</v>
      </c>
      <c r="H782" s="1" t="n">
        <v>95.2</v>
      </c>
      <c r="I782" s="1" t="n">
        <v>4</v>
      </c>
    </row>
    <row r="783" customFormat="false" ht="15.75" hidden="false" customHeight="true" outlineLevel="0" collapsed="false">
      <c r="A783" s="1" t="s">
        <v>865</v>
      </c>
      <c r="B783" s="1" t="s">
        <v>12</v>
      </c>
      <c r="C783" s="1" t="s">
        <v>13</v>
      </c>
      <c r="D783" s="1" t="s">
        <v>14</v>
      </c>
      <c r="E783" s="1" t="n">
        <v>539</v>
      </c>
      <c r="F783" s="1" t="n">
        <v>541</v>
      </c>
      <c r="G783" s="1" t="n">
        <v>53</v>
      </c>
      <c r="H783" s="1" t="n">
        <v>95.4</v>
      </c>
      <c r="I783" s="1" t="n">
        <v>260</v>
      </c>
    </row>
    <row r="784" customFormat="false" ht="15.75" hidden="false" customHeight="true" outlineLevel="0" collapsed="false">
      <c r="A784" s="1" t="s">
        <v>866</v>
      </c>
      <c r="B784" s="1" t="s">
        <v>52</v>
      </c>
      <c r="C784" s="1" t="s">
        <v>37</v>
      </c>
      <c r="D784" s="1" t="s">
        <v>58</v>
      </c>
      <c r="E784" s="1" t="n">
        <v>494</v>
      </c>
      <c r="F784" s="1" t="n">
        <v>511</v>
      </c>
      <c r="G784" s="1" t="n">
        <v>97.4</v>
      </c>
      <c r="H784" s="1" t="n">
        <v>94.7</v>
      </c>
      <c r="I784" s="1" t="n">
        <v>70</v>
      </c>
    </row>
    <row r="785" customFormat="false" ht="15.75" hidden="false" customHeight="true" outlineLevel="0" collapsed="false">
      <c r="A785" s="1" t="s">
        <v>867</v>
      </c>
      <c r="B785" s="1" t="s">
        <v>12</v>
      </c>
      <c r="C785" s="1" t="s">
        <v>13</v>
      </c>
      <c r="D785" s="1" t="s">
        <v>14</v>
      </c>
      <c r="E785" s="1" t="n">
        <v>539</v>
      </c>
      <c r="F785" s="1" t="n">
        <v>541</v>
      </c>
      <c r="G785" s="1" t="n">
        <v>53</v>
      </c>
      <c r="H785" s="1" t="n">
        <v>95.4</v>
      </c>
      <c r="I785" s="1" t="n">
        <v>260</v>
      </c>
    </row>
    <row r="786" customFormat="false" ht="15.75" hidden="false" customHeight="true" outlineLevel="0" collapsed="false">
      <c r="A786" s="1" t="s">
        <v>868</v>
      </c>
      <c r="B786" s="1" t="s">
        <v>186</v>
      </c>
      <c r="C786" s="1" t="s">
        <v>13</v>
      </c>
      <c r="D786" s="1" t="s">
        <v>14</v>
      </c>
      <c r="E786" s="1" t="n">
        <v>525</v>
      </c>
      <c r="F786" s="1" t="n">
        <v>535</v>
      </c>
      <c r="G786" s="1" t="n">
        <v>97.5</v>
      </c>
      <c r="H786" s="1" t="n">
        <v>95.2</v>
      </c>
      <c r="I786" s="1" t="n">
        <v>9</v>
      </c>
    </row>
    <row r="787" customFormat="false" ht="15.75" hidden="false" customHeight="true" outlineLevel="0" collapsed="false">
      <c r="A787" s="1" t="s">
        <v>869</v>
      </c>
      <c r="B787" s="1" t="s">
        <v>12</v>
      </c>
      <c r="C787" s="1" t="s">
        <v>13</v>
      </c>
      <c r="D787" s="1" t="s">
        <v>18</v>
      </c>
      <c r="E787" s="1" t="n">
        <v>518</v>
      </c>
      <c r="F787" s="1" t="n">
        <v>535</v>
      </c>
      <c r="G787" s="1" t="n">
        <v>97.5</v>
      </c>
      <c r="H787" s="1" t="n">
        <v>94.7</v>
      </c>
      <c r="I787" s="1" t="n">
        <v>6</v>
      </c>
    </row>
    <row r="788" customFormat="false" ht="15.75" hidden="false" customHeight="true" outlineLevel="0" collapsed="false">
      <c r="A788" s="1" t="s">
        <v>870</v>
      </c>
      <c r="B788" s="1" t="s">
        <v>12</v>
      </c>
      <c r="C788" s="1" t="s">
        <v>13</v>
      </c>
      <c r="D788" s="1" t="s">
        <v>14</v>
      </c>
      <c r="E788" s="1" t="n">
        <v>538</v>
      </c>
      <c r="F788" s="1" t="n">
        <v>541</v>
      </c>
      <c r="G788" s="1" t="n">
        <v>53.2</v>
      </c>
      <c r="H788" s="1" t="n">
        <v>95.4</v>
      </c>
      <c r="I788" s="1" t="n">
        <v>260</v>
      </c>
    </row>
    <row r="789" customFormat="false" ht="15.75" hidden="false" customHeight="true" outlineLevel="0" collapsed="false">
      <c r="A789" s="1" t="s">
        <v>871</v>
      </c>
      <c r="B789" s="1" t="s">
        <v>12</v>
      </c>
      <c r="C789" s="1" t="s">
        <v>13</v>
      </c>
      <c r="D789" s="1" t="s">
        <v>14</v>
      </c>
      <c r="E789" s="1" t="n">
        <v>360</v>
      </c>
      <c r="F789" s="1" t="n">
        <v>363</v>
      </c>
      <c r="G789" s="1" t="n">
        <v>43</v>
      </c>
      <c r="H789" s="1" t="n">
        <v>91.6</v>
      </c>
      <c r="I789" s="1" t="n">
        <v>800</v>
      </c>
    </row>
    <row r="790" customFormat="false" ht="15.75" hidden="false" customHeight="true" outlineLevel="0" collapsed="false">
      <c r="A790" s="1" t="s">
        <v>872</v>
      </c>
      <c r="B790" s="1" t="s">
        <v>12</v>
      </c>
      <c r="C790" s="1" t="s">
        <v>83</v>
      </c>
      <c r="D790" s="1" t="s">
        <v>14</v>
      </c>
      <c r="E790" s="1" t="n">
        <v>609</v>
      </c>
      <c r="F790" s="1" t="n">
        <v>623</v>
      </c>
      <c r="G790" s="1" t="n">
        <v>86.6</v>
      </c>
      <c r="H790" s="1" t="n">
        <v>97</v>
      </c>
      <c r="I790" s="1" t="n">
        <v>860</v>
      </c>
    </row>
    <row r="791" customFormat="false" ht="15.75" hidden="false" customHeight="true" outlineLevel="0" collapsed="false">
      <c r="A791" s="1" t="s">
        <v>873</v>
      </c>
      <c r="B791" s="1" t="s">
        <v>12</v>
      </c>
      <c r="C791" s="1" t="s">
        <v>13</v>
      </c>
      <c r="D791" s="1" t="s">
        <v>14</v>
      </c>
      <c r="E791" s="1" t="n">
        <v>348</v>
      </c>
      <c r="F791" s="1" t="n">
        <v>351</v>
      </c>
      <c r="G791" s="1" t="n">
        <v>53.2</v>
      </c>
      <c r="H791" s="1" t="n">
        <v>91.5</v>
      </c>
      <c r="I791" s="1" t="n">
        <v>260</v>
      </c>
    </row>
    <row r="792" customFormat="false" ht="15.75" hidden="false" customHeight="true" outlineLevel="0" collapsed="false">
      <c r="A792" s="1" t="s">
        <v>874</v>
      </c>
      <c r="B792" s="1" t="s">
        <v>12</v>
      </c>
      <c r="C792" s="1" t="s">
        <v>13</v>
      </c>
      <c r="D792" s="1" t="s">
        <v>18</v>
      </c>
      <c r="E792" s="1" t="n">
        <v>569</v>
      </c>
      <c r="F792" s="1" t="n">
        <v>584</v>
      </c>
      <c r="G792" s="1" t="n">
        <v>97.7</v>
      </c>
      <c r="H792" s="1" t="n">
        <v>96.2</v>
      </c>
      <c r="I792" s="1" t="n">
        <v>10</v>
      </c>
    </row>
    <row r="793" customFormat="false" ht="15.75" hidden="false" customHeight="true" outlineLevel="0" collapsed="false">
      <c r="A793" s="1" t="s">
        <v>875</v>
      </c>
      <c r="B793" s="1" t="s">
        <v>12</v>
      </c>
      <c r="C793" s="1" t="s">
        <v>37</v>
      </c>
      <c r="D793" s="1" t="s">
        <v>98</v>
      </c>
      <c r="E793" s="1" t="n">
        <v>409</v>
      </c>
      <c r="F793" s="1" t="n">
        <v>419</v>
      </c>
      <c r="G793" s="1" t="n">
        <v>51.6</v>
      </c>
      <c r="H793" s="1" t="n">
        <v>92.8</v>
      </c>
      <c r="I793" s="1" t="n">
        <v>9</v>
      </c>
    </row>
    <row r="794" customFormat="false" ht="15.75" hidden="false" customHeight="true" outlineLevel="0" collapsed="false">
      <c r="A794" s="1" t="s">
        <v>876</v>
      </c>
      <c r="B794" s="1" t="s">
        <v>12</v>
      </c>
      <c r="C794" s="1" t="s">
        <v>13</v>
      </c>
      <c r="D794" s="1" t="s">
        <v>18</v>
      </c>
      <c r="E794" s="1" t="n">
        <v>476</v>
      </c>
      <c r="F794" s="1" t="n">
        <v>500</v>
      </c>
      <c r="G794" s="1" t="n">
        <v>97.5</v>
      </c>
      <c r="H794" s="1" t="n">
        <v>94.6</v>
      </c>
      <c r="I794" s="1" t="n">
        <v>4</v>
      </c>
    </row>
    <row r="795" customFormat="false" ht="15.75" hidden="false" customHeight="true" outlineLevel="0" collapsed="false">
      <c r="A795" s="1" t="s">
        <v>877</v>
      </c>
      <c r="B795" s="1" t="s">
        <v>181</v>
      </c>
      <c r="C795" s="1" t="s">
        <v>37</v>
      </c>
      <c r="D795" s="1" t="s">
        <v>98</v>
      </c>
      <c r="E795" s="1" t="n">
        <v>22017</v>
      </c>
      <c r="F795" s="1" t="n">
        <v>110791</v>
      </c>
      <c r="G795" s="1" t="n">
        <v>132.98</v>
      </c>
      <c r="H795" s="1" t="n">
        <v>3430.28</v>
      </c>
      <c r="I795" s="1" t="n">
        <v>1200</v>
      </c>
    </row>
    <row r="796" customFormat="false" ht="15.75" hidden="false" customHeight="true" outlineLevel="0" collapsed="false">
      <c r="A796" s="1" t="s">
        <v>878</v>
      </c>
      <c r="B796" s="1" t="s">
        <v>12</v>
      </c>
      <c r="C796" s="1" t="s">
        <v>13</v>
      </c>
      <c r="D796" s="1" t="s">
        <v>14</v>
      </c>
      <c r="E796" s="1" t="n">
        <v>538</v>
      </c>
      <c r="F796" s="1" t="n">
        <v>541</v>
      </c>
      <c r="G796" s="1" t="n">
        <v>53.2</v>
      </c>
      <c r="H796" s="1" t="n">
        <v>95.4</v>
      </c>
      <c r="I796" s="1" t="n">
        <v>260</v>
      </c>
    </row>
    <row r="797" customFormat="false" ht="15.75" hidden="false" customHeight="true" outlineLevel="0" collapsed="false">
      <c r="A797" s="1" t="s">
        <v>879</v>
      </c>
      <c r="B797" s="1" t="s">
        <v>12</v>
      </c>
      <c r="C797" s="1" t="s">
        <v>13</v>
      </c>
      <c r="D797" s="1" t="s">
        <v>14</v>
      </c>
      <c r="E797" s="1" t="n">
        <v>345</v>
      </c>
      <c r="F797" s="1" t="n">
        <v>352</v>
      </c>
      <c r="G797" s="1" t="n">
        <v>43</v>
      </c>
      <c r="H797" s="1" t="n">
        <v>91.6</v>
      </c>
      <c r="I797" s="1" t="n">
        <v>750</v>
      </c>
    </row>
    <row r="798" customFormat="false" ht="15.75" hidden="false" customHeight="true" outlineLevel="0" collapsed="false">
      <c r="A798" s="1" t="s">
        <v>880</v>
      </c>
      <c r="B798" s="1" t="s">
        <v>52</v>
      </c>
      <c r="C798" s="1" t="s">
        <v>37</v>
      </c>
      <c r="D798" s="1" t="s">
        <v>18</v>
      </c>
      <c r="E798" s="1" t="n">
        <v>527</v>
      </c>
      <c r="F798" s="1" t="n">
        <v>550</v>
      </c>
      <c r="G798" s="1" t="n">
        <v>97.5</v>
      </c>
      <c r="H798" s="1" t="n">
        <v>96</v>
      </c>
      <c r="I798" s="1" t="n">
        <v>65</v>
      </c>
    </row>
    <row r="799" customFormat="false" ht="15.75" hidden="false" customHeight="true" outlineLevel="0" collapsed="false">
      <c r="A799" s="1" t="s">
        <v>881</v>
      </c>
      <c r="B799" s="1" t="s">
        <v>12</v>
      </c>
      <c r="C799" s="1" t="s">
        <v>13</v>
      </c>
      <c r="D799" s="1" t="s">
        <v>882</v>
      </c>
      <c r="E799" s="1" t="n">
        <v>36000</v>
      </c>
      <c r="F799" s="1" t="n">
        <v>36000</v>
      </c>
      <c r="G799" s="1" t="n">
        <v>1.5</v>
      </c>
      <c r="H799" s="1" t="n">
        <v>1450.1</v>
      </c>
      <c r="I799" s="1" t="n">
        <v>2875</v>
      </c>
    </row>
    <row r="800" customFormat="false" ht="15.75" hidden="false" customHeight="true" outlineLevel="0" collapsed="false">
      <c r="A800" s="1" t="s">
        <v>883</v>
      </c>
      <c r="B800" s="1" t="s">
        <v>20</v>
      </c>
      <c r="C800" s="1" t="s">
        <v>21</v>
      </c>
      <c r="D800" s="1" t="s">
        <v>18</v>
      </c>
      <c r="E800" s="1" t="n">
        <v>244</v>
      </c>
      <c r="F800" s="1" t="n">
        <v>900</v>
      </c>
      <c r="G800" s="1" t="n">
        <v>67.1</v>
      </c>
      <c r="H800" s="1" t="n">
        <v>96.1</v>
      </c>
      <c r="I800" s="1" t="n">
        <v>5000</v>
      </c>
    </row>
    <row r="801" customFormat="false" ht="15.75" hidden="false" customHeight="true" outlineLevel="0" collapsed="false">
      <c r="A801" s="1" t="s">
        <v>884</v>
      </c>
      <c r="B801" s="1" t="s">
        <v>12</v>
      </c>
      <c r="C801" s="1" t="s">
        <v>13</v>
      </c>
      <c r="D801" s="1" t="s">
        <v>14</v>
      </c>
      <c r="E801" s="1" t="n">
        <v>548</v>
      </c>
      <c r="F801" s="1" t="n">
        <v>561</v>
      </c>
      <c r="G801" s="1" t="n">
        <v>53</v>
      </c>
      <c r="H801" s="1" t="n">
        <v>95.6</v>
      </c>
      <c r="I801" s="1" t="n">
        <v>260</v>
      </c>
    </row>
    <row r="802" customFormat="false" ht="15.75" hidden="false" customHeight="true" outlineLevel="0" collapsed="false">
      <c r="A802" s="1" t="s">
        <v>885</v>
      </c>
      <c r="B802" s="1" t="s">
        <v>52</v>
      </c>
      <c r="C802" s="1" t="s">
        <v>37</v>
      </c>
      <c r="D802" s="1" t="s">
        <v>18</v>
      </c>
      <c r="E802" s="1" t="n">
        <v>488</v>
      </c>
      <c r="F802" s="1" t="n">
        <v>499</v>
      </c>
      <c r="G802" s="1" t="n">
        <v>97.4</v>
      </c>
      <c r="H802" s="1" t="n">
        <v>94.7</v>
      </c>
      <c r="I802" s="1" t="n">
        <v>189</v>
      </c>
    </row>
    <row r="803" customFormat="false" ht="15.75" hidden="false" customHeight="true" outlineLevel="0" collapsed="false">
      <c r="A803" s="1" t="s">
        <v>886</v>
      </c>
      <c r="B803" s="1" t="s">
        <v>52</v>
      </c>
      <c r="C803" s="1" t="s">
        <v>37</v>
      </c>
      <c r="D803" s="1" t="s">
        <v>18</v>
      </c>
      <c r="E803" s="1" t="n">
        <v>485</v>
      </c>
      <c r="F803" s="1" t="n">
        <v>505</v>
      </c>
      <c r="G803" s="1" t="n">
        <v>97.4</v>
      </c>
      <c r="H803" s="1" t="n">
        <v>94.5</v>
      </c>
      <c r="I803" s="1" t="n">
        <v>2500</v>
      </c>
    </row>
    <row r="804" customFormat="false" ht="15.75" hidden="false" customHeight="true" outlineLevel="0" collapsed="false">
      <c r="A804" s="1" t="s">
        <v>887</v>
      </c>
      <c r="B804" s="1" t="s">
        <v>20</v>
      </c>
      <c r="C804" s="1" t="s">
        <v>37</v>
      </c>
      <c r="D804" s="1" t="s">
        <v>18</v>
      </c>
      <c r="E804" s="1" t="n">
        <v>812</v>
      </c>
      <c r="F804" s="1" t="n">
        <v>815</v>
      </c>
      <c r="G804" s="1" t="n">
        <v>98.5</v>
      </c>
      <c r="H804" s="1" t="n">
        <v>101.1</v>
      </c>
      <c r="I804" s="1" t="n">
        <v>2900</v>
      </c>
    </row>
    <row r="805" customFormat="false" ht="15.75" hidden="false" customHeight="true" outlineLevel="0" collapsed="false">
      <c r="A805" s="1" t="s">
        <v>888</v>
      </c>
      <c r="B805" s="1" t="s">
        <v>12</v>
      </c>
      <c r="C805" s="1" t="s">
        <v>13</v>
      </c>
      <c r="D805" s="1" t="s">
        <v>14</v>
      </c>
      <c r="E805" s="1" t="n">
        <v>548</v>
      </c>
      <c r="F805" s="1" t="n">
        <v>561</v>
      </c>
      <c r="G805" s="1" t="n">
        <v>53</v>
      </c>
      <c r="H805" s="1" t="n">
        <v>95.6</v>
      </c>
      <c r="I805" s="1" t="n">
        <v>260</v>
      </c>
    </row>
    <row r="806" customFormat="false" ht="15.75" hidden="false" customHeight="true" outlineLevel="0" collapsed="false">
      <c r="A806" s="1" t="s">
        <v>889</v>
      </c>
      <c r="B806" s="1" t="s">
        <v>12</v>
      </c>
      <c r="C806" s="1" t="s">
        <v>13</v>
      </c>
      <c r="D806" s="1" t="s">
        <v>14</v>
      </c>
      <c r="E806" s="1" t="n">
        <v>260</v>
      </c>
      <c r="F806" s="1" t="n">
        <v>280</v>
      </c>
      <c r="G806" s="1" t="n">
        <v>53</v>
      </c>
      <c r="H806" s="1" t="n">
        <v>95.6</v>
      </c>
      <c r="I806" s="1" t="n">
        <v>260</v>
      </c>
    </row>
    <row r="807" customFormat="false" ht="15.75" hidden="false" customHeight="true" outlineLevel="0" collapsed="false">
      <c r="A807" s="1" t="s">
        <v>890</v>
      </c>
      <c r="B807" s="1" t="s">
        <v>12</v>
      </c>
      <c r="C807" s="1" t="s">
        <v>13</v>
      </c>
      <c r="D807" s="1" t="s">
        <v>14</v>
      </c>
      <c r="E807" s="1" t="n">
        <v>549</v>
      </c>
      <c r="F807" s="1" t="n">
        <v>551</v>
      </c>
      <c r="G807" s="1" t="n">
        <v>53</v>
      </c>
      <c r="H807" s="1" t="n">
        <v>90.3</v>
      </c>
      <c r="I807" s="1" t="n">
        <v>227</v>
      </c>
    </row>
    <row r="808" customFormat="false" ht="15.75" hidden="false" customHeight="true" outlineLevel="0" collapsed="false">
      <c r="A808" s="1" t="s">
        <v>891</v>
      </c>
      <c r="B808" s="1" t="s">
        <v>12</v>
      </c>
      <c r="C808" s="1" t="s">
        <v>13</v>
      </c>
      <c r="D808" s="1" t="s">
        <v>14</v>
      </c>
      <c r="E808" s="1" t="n">
        <v>548</v>
      </c>
      <c r="F808" s="1" t="n">
        <v>561</v>
      </c>
      <c r="G808" s="1" t="n">
        <v>53</v>
      </c>
      <c r="H808" s="1" t="n">
        <v>95.6</v>
      </c>
      <c r="I808" s="1" t="n">
        <v>260</v>
      </c>
    </row>
    <row r="809" customFormat="false" ht="15.75" hidden="false" customHeight="true" outlineLevel="0" collapsed="false">
      <c r="A809" s="1" t="s">
        <v>892</v>
      </c>
      <c r="B809" s="1" t="s">
        <v>12</v>
      </c>
      <c r="C809" s="1" t="s">
        <v>97</v>
      </c>
      <c r="D809" s="1" t="s">
        <v>58</v>
      </c>
      <c r="E809" s="1" t="n">
        <v>506</v>
      </c>
      <c r="F809" s="1" t="n">
        <v>543</v>
      </c>
      <c r="G809" s="1" t="n">
        <v>97.5</v>
      </c>
      <c r="H809" s="1" t="n">
        <v>94.5</v>
      </c>
      <c r="I809" s="1" t="n">
        <v>1</v>
      </c>
    </row>
    <row r="810" customFormat="false" ht="15.75" hidden="false" customHeight="true" outlineLevel="0" collapsed="false">
      <c r="A810" s="1" t="s">
        <v>893</v>
      </c>
      <c r="B810" s="1" t="s">
        <v>52</v>
      </c>
      <c r="C810" s="1" t="s">
        <v>37</v>
      </c>
      <c r="D810" s="1" t="s">
        <v>14</v>
      </c>
      <c r="E810" s="1" t="n">
        <v>35768</v>
      </c>
      <c r="F810" s="1" t="n">
        <v>35802</v>
      </c>
      <c r="G810" s="1" t="n">
        <v>2.04</v>
      </c>
      <c r="H810" s="1" t="n">
        <v>1436</v>
      </c>
      <c r="I810" s="1" t="n">
        <v>2200</v>
      </c>
    </row>
    <row r="811" customFormat="false" ht="15.75" hidden="false" customHeight="true" outlineLevel="0" collapsed="false">
      <c r="A811" s="1" t="s">
        <v>894</v>
      </c>
      <c r="B811" s="1" t="s">
        <v>12</v>
      </c>
      <c r="C811" s="1" t="s">
        <v>13</v>
      </c>
      <c r="D811" s="1" t="s">
        <v>14</v>
      </c>
      <c r="E811" s="1" t="n">
        <v>258</v>
      </c>
      <c r="F811" s="1" t="n">
        <v>280</v>
      </c>
      <c r="G811" s="1" t="n">
        <v>53</v>
      </c>
      <c r="H811" s="1" t="n">
        <v>95.6</v>
      </c>
      <c r="I811" s="1" t="n">
        <v>260</v>
      </c>
    </row>
    <row r="812" customFormat="false" ht="15.75" hidden="false" customHeight="true" outlineLevel="0" collapsed="false">
      <c r="A812" s="1" t="s">
        <v>895</v>
      </c>
      <c r="B812" s="1" t="s">
        <v>12</v>
      </c>
      <c r="C812" s="1" t="s">
        <v>13</v>
      </c>
      <c r="D812" s="1" t="s">
        <v>14</v>
      </c>
      <c r="E812" s="1" t="n">
        <v>538</v>
      </c>
      <c r="F812" s="1" t="n">
        <v>541</v>
      </c>
      <c r="G812" s="1" t="n">
        <v>53.2</v>
      </c>
      <c r="H812" s="1" t="n">
        <v>95.4</v>
      </c>
      <c r="I812" s="1" t="n">
        <v>260</v>
      </c>
    </row>
    <row r="813" customFormat="false" ht="15.75" hidden="false" customHeight="true" outlineLevel="0" collapsed="false">
      <c r="A813" s="1" t="s">
        <v>896</v>
      </c>
      <c r="B813" s="1" t="s">
        <v>12</v>
      </c>
      <c r="C813" s="1" t="s">
        <v>13</v>
      </c>
      <c r="D813" s="1" t="s">
        <v>14</v>
      </c>
      <c r="E813" s="1" t="n">
        <v>548</v>
      </c>
      <c r="F813" s="1" t="n">
        <v>561</v>
      </c>
      <c r="G813" s="1" t="n">
        <v>53</v>
      </c>
      <c r="H813" s="1" t="n">
        <v>95.6</v>
      </c>
      <c r="I813" s="1" t="n">
        <v>260</v>
      </c>
    </row>
    <row r="814" customFormat="false" ht="15.75" hidden="false" customHeight="true" outlineLevel="0" collapsed="false">
      <c r="A814" s="1" t="s">
        <v>897</v>
      </c>
      <c r="B814" s="1" t="s">
        <v>12</v>
      </c>
      <c r="C814" s="1" t="s">
        <v>13</v>
      </c>
      <c r="D814" s="1" t="s">
        <v>14</v>
      </c>
      <c r="E814" s="1" t="n">
        <v>379</v>
      </c>
      <c r="F814" s="1" t="n">
        <v>381</v>
      </c>
      <c r="G814" s="1" t="n">
        <v>53</v>
      </c>
      <c r="H814" s="1" t="n">
        <v>96.5</v>
      </c>
      <c r="I814" s="1" t="n">
        <v>227</v>
      </c>
    </row>
    <row r="815" customFormat="false" ht="15.75" hidden="false" customHeight="true" outlineLevel="0" collapsed="false">
      <c r="A815" s="1" t="s">
        <v>898</v>
      </c>
      <c r="B815" s="1" t="s">
        <v>786</v>
      </c>
      <c r="C815" s="1" t="s">
        <v>97</v>
      </c>
      <c r="D815" s="1" t="s">
        <v>58</v>
      </c>
      <c r="E815" s="1" t="n">
        <v>533</v>
      </c>
      <c r="F815" s="1" t="n">
        <v>550</v>
      </c>
      <c r="G815" s="1" t="n">
        <v>14.98</v>
      </c>
      <c r="H815" s="1" t="n">
        <v>95.48</v>
      </c>
      <c r="I815" s="1" t="n">
        <v>123</v>
      </c>
    </row>
    <row r="816" customFormat="false" ht="15.75" hidden="false" customHeight="true" outlineLevel="0" collapsed="false">
      <c r="A816" s="1" t="s">
        <v>899</v>
      </c>
      <c r="B816" s="1" t="s">
        <v>112</v>
      </c>
      <c r="C816" s="1" t="s">
        <v>97</v>
      </c>
      <c r="D816" s="1" t="s">
        <v>58</v>
      </c>
      <c r="E816" s="1" t="n">
        <v>594</v>
      </c>
      <c r="F816" s="1" t="n">
        <v>715</v>
      </c>
      <c r="G816" s="1" t="n">
        <v>97.8</v>
      </c>
      <c r="H816" s="1" t="n">
        <v>97.8</v>
      </c>
      <c r="I816" s="1" t="n">
        <v>2</v>
      </c>
    </row>
    <row r="817" customFormat="false" ht="15.75" hidden="false" customHeight="true" outlineLevel="0" collapsed="false">
      <c r="A817" s="1" t="s">
        <v>900</v>
      </c>
      <c r="B817" s="1" t="s">
        <v>12</v>
      </c>
      <c r="C817" s="1" t="s">
        <v>13</v>
      </c>
      <c r="D817" s="1" t="s">
        <v>14</v>
      </c>
      <c r="E817" s="1" t="n">
        <v>443</v>
      </c>
      <c r="F817" s="1" t="n">
        <v>446</v>
      </c>
      <c r="G817" s="1" t="n">
        <v>53.2</v>
      </c>
      <c r="H817" s="1" t="n">
        <v>93.5</v>
      </c>
      <c r="I817" s="1" t="n">
        <v>260</v>
      </c>
    </row>
    <row r="818" customFormat="false" ht="15.75" hidden="false" customHeight="true" outlineLevel="0" collapsed="false">
      <c r="A818" s="1" t="s">
        <v>901</v>
      </c>
      <c r="B818" s="1" t="s">
        <v>52</v>
      </c>
      <c r="C818" s="1" t="s">
        <v>97</v>
      </c>
      <c r="D818" s="1" t="s">
        <v>902</v>
      </c>
      <c r="E818" s="1" t="n">
        <v>472</v>
      </c>
      <c r="F818" s="1" t="n">
        <v>502</v>
      </c>
      <c r="G818" s="1" t="n">
        <v>97.4</v>
      </c>
      <c r="H818" s="1" t="n">
        <v>95</v>
      </c>
      <c r="I818" s="1" t="n">
        <v>20</v>
      </c>
    </row>
    <row r="819" customFormat="false" ht="15.75" hidden="false" customHeight="true" outlineLevel="0" collapsed="false">
      <c r="A819" s="1" t="s">
        <v>903</v>
      </c>
      <c r="B819" s="1" t="s">
        <v>12</v>
      </c>
      <c r="C819" s="1" t="s">
        <v>13</v>
      </c>
      <c r="D819" s="1" t="s">
        <v>14</v>
      </c>
      <c r="E819" s="1" t="n">
        <v>538</v>
      </c>
      <c r="F819" s="1" t="n">
        <v>541</v>
      </c>
      <c r="G819" s="1" t="n">
        <v>53.2</v>
      </c>
      <c r="H819" s="1" t="n">
        <v>95.4</v>
      </c>
      <c r="I819" s="1" t="n">
        <v>260</v>
      </c>
    </row>
    <row r="820" customFormat="false" ht="15.75" hidden="false" customHeight="true" outlineLevel="0" collapsed="false">
      <c r="A820" s="1" t="s">
        <v>904</v>
      </c>
      <c r="B820" s="1" t="s">
        <v>12</v>
      </c>
      <c r="C820" s="1" t="s">
        <v>13</v>
      </c>
      <c r="D820" s="1" t="s">
        <v>18</v>
      </c>
      <c r="E820" s="1" t="n">
        <v>570</v>
      </c>
      <c r="F820" s="1" t="n">
        <v>585</v>
      </c>
      <c r="G820" s="1" t="n">
        <v>97.7</v>
      </c>
      <c r="H820" s="1" t="n">
        <v>96.2</v>
      </c>
      <c r="I820" s="1" t="n">
        <v>10</v>
      </c>
    </row>
    <row r="821" customFormat="false" ht="15.75" hidden="false" customHeight="true" outlineLevel="0" collapsed="false">
      <c r="A821" s="1" t="s">
        <v>905</v>
      </c>
      <c r="B821" s="1" t="s">
        <v>12</v>
      </c>
      <c r="C821" s="1" t="s">
        <v>13</v>
      </c>
      <c r="D821" s="1" t="s">
        <v>14</v>
      </c>
      <c r="E821" s="1" t="n">
        <v>549</v>
      </c>
      <c r="F821" s="1" t="n">
        <v>551</v>
      </c>
      <c r="G821" s="1" t="n">
        <v>53</v>
      </c>
      <c r="H821" s="1" t="n">
        <v>90.4</v>
      </c>
      <c r="I821" s="1" t="n">
        <v>227</v>
      </c>
    </row>
    <row r="822" customFormat="false" ht="15.75" hidden="false" customHeight="true" outlineLevel="0" collapsed="false">
      <c r="A822" s="1" t="s">
        <v>906</v>
      </c>
      <c r="B822" s="1" t="s">
        <v>12</v>
      </c>
      <c r="C822" s="1" t="s">
        <v>13</v>
      </c>
      <c r="D822" s="1" t="s">
        <v>14</v>
      </c>
      <c r="E822" s="1" t="n">
        <v>258</v>
      </c>
      <c r="F822" s="1" t="n">
        <v>280</v>
      </c>
      <c r="G822" s="1" t="n">
        <v>53</v>
      </c>
      <c r="H822" s="1" t="n">
        <v>95.6</v>
      </c>
      <c r="I822" s="1" t="n">
        <v>260</v>
      </c>
    </row>
    <row r="823" customFormat="false" ht="15.75" hidden="false" customHeight="true" outlineLevel="0" collapsed="false">
      <c r="A823" s="1" t="s">
        <v>907</v>
      </c>
      <c r="B823" s="1" t="s">
        <v>52</v>
      </c>
      <c r="C823" s="1" t="s">
        <v>21</v>
      </c>
      <c r="D823" s="1" t="s">
        <v>18</v>
      </c>
      <c r="E823" s="1" t="n">
        <v>1080</v>
      </c>
      <c r="F823" s="1" t="n">
        <v>1100</v>
      </c>
      <c r="G823" s="1" t="n">
        <v>63.4</v>
      </c>
      <c r="H823" s="1" t="n">
        <v>107.5</v>
      </c>
    </row>
    <row r="824" customFormat="false" ht="15.75" hidden="false" customHeight="true" outlineLevel="0" collapsed="false">
      <c r="A824" s="1" t="s">
        <v>908</v>
      </c>
      <c r="B824" s="1" t="s">
        <v>12</v>
      </c>
      <c r="C824" s="1" t="s">
        <v>13</v>
      </c>
      <c r="D824" s="1" t="s">
        <v>14</v>
      </c>
      <c r="E824" s="1" t="n">
        <v>548</v>
      </c>
      <c r="F824" s="1" t="n">
        <v>561</v>
      </c>
      <c r="G824" s="1" t="n">
        <v>53</v>
      </c>
      <c r="H824" s="1" t="n">
        <v>95.6</v>
      </c>
      <c r="I824" s="1" t="n">
        <v>260</v>
      </c>
    </row>
    <row r="825" customFormat="false" ht="15.75" hidden="false" customHeight="true" outlineLevel="0" collapsed="false">
      <c r="A825" s="1" t="s">
        <v>909</v>
      </c>
      <c r="B825" s="1" t="s">
        <v>52</v>
      </c>
      <c r="C825" s="1" t="s">
        <v>37</v>
      </c>
      <c r="D825" s="1" t="s">
        <v>14</v>
      </c>
      <c r="E825" s="1" t="n">
        <v>35782</v>
      </c>
      <c r="F825" s="1" t="n">
        <v>35790</v>
      </c>
      <c r="G825" s="1" t="n">
        <v>0.08</v>
      </c>
      <c r="H825" s="1" t="n">
        <v>1436</v>
      </c>
    </row>
    <row r="826" customFormat="false" ht="15.75" hidden="false" customHeight="true" outlineLevel="0" collapsed="false">
      <c r="A826" s="1" t="s">
        <v>910</v>
      </c>
      <c r="B826" s="1" t="s">
        <v>12</v>
      </c>
      <c r="C826" s="1" t="s">
        <v>13</v>
      </c>
      <c r="D826" s="1" t="s">
        <v>18</v>
      </c>
      <c r="E826" s="1" t="n">
        <v>553</v>
      </c>
      <c r="F826" s="1" t="n">
        <v>568</v>
      </c>
      <c r="G826" s="1" t="n">
        <v>97.7</v>
      </c>
      <c r="H826" s="1" t="n">
        <v>94.5</v>
      </c>
      <c r="I826" s="1" t="n">
        <v>10</v>
      </c>
    </row>
    <row r="827" customFormat="false" ht="15.75" hidden="false" customHeight="true" outlineLevel="0" collapsed="false">
      <c r="A827" s="1" t="s">
        <v>911</v>
      </c>
      <c r="B827" s="1" t="s">
        <v>12</v>
      </c>
      <c r="C827" s="1" t="s">
        <v>13</v>
      </c>
      <c r="D827" s="1" t="s">
        <v>14</v>
      </c>
      <c r="E827" s="1" t="n">
        <v>538</v>
      </c>
      <c r="F827" s="1" t="n">
        <v>541</v>
      </c>
      <c r="G827" s="1" t="n">
        <v>53.2</v>
      </c>
      <c r="H827" s="1" t="n">
        <v>95.4</v>
      </c>
      <c r="I827" s="1" t="n">
        <v>260</v>
      </c>
    </row>
    <row r="828" customFormat="false" ht="15.75" hidden="false" customHeight="true" outlineLevel="0" collapsed="false">
      <c r="A828" s="1" t="s">
        <v>912</v>
      </c>
      <c r="B828" s="1" t="s">
        <v>112</v>
      </c>
      <c r="C828" s="1" t="s">
        <v>13</v>
      </c>
      <c r="D828" s="1" t="s">
        <v>18</v>
      </c>
      <c r="E828" s="1" t="n">
        <v>468</v>
      </c>
      <c r="F828" s="1" t="n">
        <v>478</v>
      </c>
      <c r="G828" s="1" t="n">
        <v>97.3</v>
      </c>
      <c r="H828" s="1" t="n">
        <v>94</v>
      </c>
      <c r="I828" s="1" t="n">
        <v>45</v>
      </c>
    </row>
    <row r="829" customFormat="false" ht="15.75" hidden="false" customHeight="true" outlineLevel="0" collapsed="false">
      <c r="A829" s="1" t="s">
        <v>913</v>
      </c>
      <c r="B829" s="1" t="s">
        <v>12</v>
      </c>
      <c r="C829" s="1" t="s">
        <v>13</v>
      </c>
      <c r="D829" s="1" t="s">
        <v>14</v>
      </c>
      <c r="E829" s="1" t="n">
        <v>548</v>
      </c>
      <c r="F829" s="1" t="n">
        <v>561</v>
      </c>
      <c r="G829" s="1" t="n">
        <v>53</v>
      </c>
      <c r="H829" s="1" t="n">
        <v>95.6</v>
      </c>
      <c r="I829" s="1" t="n">
        <v>260</v>
      </c>
    </row>
    <row r="830" customFormat="false" ht="15.75" hidden="false" customHeight="true" outlineLevel="0" collapsed="false">
      <c r="A830" s="1" t="s">
        <v>914</v>
      </c>
      <c r="B830" s="1" t="s">
        <v>12</v>
      </c>
      <c r="C830" s="1" t="s">
        <v>13</v>
      </c>
      <c r="D830" s="1" t="s">
        <v>18</v>
      </c>
      <c r="E830" s="1" t="n">
        <v>534</v>
      </c>
      <c r="F830" s="1" t="n">
        <v>535</v>
      </c>
      <c r="G830" s="1" t="n">
        <v>97.5</v>
      </c>
      <c r="H830" s="1" t="n">
        <v>94.7</v>
      </c>
      <c r="I830" s="1" t="n">
        <v>4</v>
      </c>
    </row>
    <row r="831" customFormat="false" ht="15.75" hidden="false" customHeight="true" outlineLevel="0" collapsed="false">
      <c r="A831" s="1" t="s">
        <v>915</v>
      </c>
      <c r="B831" s="1" t="s">
        <v>36</v>
      </c>
      <c r="C831" s="1" t="s">
        <v>37</v>
      </c>
      <c r="D831" s="1" t="s">
        <v>14</v>
      </c>
      <c r="E831" s="1" t="n">
        <v>35763</v>
      </c>
      <c r="F831" s="1" t="n">
        <v>35810</v>
      </c>
      <c r="G831" s="1" t="n">
        <v>0.23</v>
      </c>
      <c r="H831" s="1" t="n">
        <v>1436.1</v>
      </c>
      <c r="I831" s="1" t="n">
        <v>1982</v>
      </c>
    </row>
    <row r="832" customFormat="false" ht="15.75" hidden="false" customHeight="true" outlineLevel="0" collapsed="false">
      <c r="A832" s="1" t="s">
        <v>916</v>
      </c>
      <c r="B832" s="1" t="s">
        <v>12</v>
      </c>
      <c r="C832" s="1" t="s">
        <v>13</v>
      </c>
      <c r="D832" s="1" t="s">
        <v>14</v>
      </c>
      <c r="E832" s="1" t="n">
        <v>539</v>
      </c>
      <c r="F832" s="1" t="n">
        <v>541</v>
      </c>
      <c r="G832" s="1" t="n">
        <v>53</v>
      </c>
      <c r="H832" s="1" t="n">
        <v>95.4</v>
      </c>
      <c r="I832" s="1" t="n">
        <v>260</v>
      </c>
    </row>
    <row r="833" customFormat="false" ht="15.75" hidden="false" customHeight="true" outlineLevel="0" collapsed="false">
      <c r="A833" s="1" t="s">
        <v>917</v>
      </c>
      <c r="B833" s="1" t="s">
        <v>12</v>
      </c>
      <c r="C833" s="1" t="s">
        <v>13</v>
      </c>
      <c r="D833" s="1" t="s">
        <v>14</v>
      </c>
      <c r="E833" s="1" t="n">
        <v>512</v>
      </c>
      <c r="F833" s="1" t="n">
        <v>536</v>
      </c>
      <c r="G833" s="1" t="n">
        <v>97.5</v>
      </c>
      <c r="H833" s="1" t="n">
        <v>94.3</v>
      </c>
      <c r="I833" s="1" t="n">
        <v>2</v>
      </c>
    </row>
    <row r="834" customFormat="false" ht="15.75" hidden="false" customHeight="true" outlineLevel="0" collapsed="false">
      <c r="A834" s="1" t="s">
        <v>918</v>
      </c>
      <c r="B834" s="1" t="s">
        <v>12</v>
      </c>
      <c r="C834" s="1" t="s">
        <v>13</v>
      </c>
      <c r="D834" s="1" t="s">
        <v>14</v>
      </c>
      <c r="E834" s="1" t="n">
        <v>548</v>
      </c>
      <c r="F834" s="1" t="n">
        <v>561</v>
      </c>
      <c r="G834" s="1" t="n">
        <v>53</v>
      </c>
      <c r="H834" s="1" t="n">
        <v>95.6</v>
      </c>
      <c r="I834" s="1" t="n">
        <v>260</v>
      </c>
    </row>
    <row r="835" customFormat="false" ht="15.75" hidden="false" customHeight="true" outlineLevel="0" collapsed="false">
      <c r="A835" s="1" t="s">
        <v>919</v>
      </c>
      <c r="B835" s="1" t="s">
        <v>12</v>
      </c>
      <c r="C835" s="1" t="s">
        <v>13</v>
      </c>
      <c r="D835" s="1" t="s">
        <v>14</v>
      </c>
      <c r="E835" s="1" t="n">
        <v>538</v>
      </c>
      <c r="F835" s="1" t="n">
        <v>541</v>
      </c>
      <c r="G835" s="1" t="n">
        <v>53.2</v>
      </c>
      <c r="H835" s="1" t="n">
        <v>95.4</v>
      </c>
      <c r="I835" s="1" t="n">
        <v>260</v>
      </c>
    </row>
    <row r="836" customFormat="false" ht="15.75" hidden="false" customHeight="true" outlineLevel="0" collapsed="false">
      <c r="A836" s="1" t="s">
        <v>920</v>
      </c>
      <c r="B836" s="1" t="s">
        <v>12</v>
      </c>
      <c r="C836" s="1" t="s">
        <v>13</v>
      </c>
      <c r="D836" s="1" t="s">
        <v>14</v>
      </c>
      <c r="E836" s="1" t="n">
        <v>539</v>
      </c>
      <c r="F836" s="1" t="n">
        <v>541</v>
      </c>
      <c r="G836" s="1" t="n">
        <v>53</v>
      </c>
      <c r="H836" s="1" t="n">
        <v>95.4</v>
      </c>
      <c r="I836" s="1" t="n">
        <v>260</v>
      </c>
    </row>
    <row r="837" customFormat="false" ht="15.75" hidden="false" customHeight="true" outlineLevel="0" collapsed="false">
      <c r="A837" s="1" t="s">
        <v>921</v>
      </c>
      <c r="B837" s="1" t="s">
        <v>12</v>
      </c>
      <c r="C837" s="1" t="s">
        <v>37</v>
      </c>
      <c r="D837" s="1" t="s">
        <v>98</v>
      </c>
      <c r="E837" s="1" t="n">
        <v>579</v>
      </c>
      <c r="F837" s="1" t="n">
        <v>601</v>
      </c>
      <c r="G837" s="1" t="n">
        <v>27</v>
      </c>
      <c r="H837" s="1" t="n">
        <v>96.5</v>
      </c>
      <c r="I837" s="1" t="n">
        <v>288</v>
      </c>
    </row>
    <row r="838" customFormat="false" ht="15.75" hidden="false" customHeight="true" outlineLevel="0" collapsed="false">
      <c r="A838" s="1" t="s">
        <v>922</v>
      </c>
      <c r="B838" s="1" t="s">
        <v>12</v>
      </c>
      <c r="C838" s="1" t="s">
        <v>13</v>
      </c>
      <c r="D838" s="1" t="s">
        <v>18</v>
      </c>
      <c r="E838" s="1" t="n">
        <v>527</v>
      </c>
      <c r="F838" s="1" t="n">
        <v>535</v>
      </c>
      <c r="G838" s="1" t="n">
        <v>97.5</v>
      </c>
      <c r="H838" s="1" t="n">
        <v>95.2</v>
      </c>
      <c r="I838" s="1" t="n">
        <v>4</v>
      </c>
    </row>
    <row r="839" customFormat="false" ht="15.75" hidden="false" customHeight="true" outlineLevel="0" collapsed="false">
      <c r="A839" s="1" t="s">
        <v>923</v>
      </c>
      <c r="B839" s="1" t="s">
        <v>137</v>
      </c>
      <c r="C839" s="1" t="s">
        <v>13</v>
      </c>
      <c r="D839" s="1" t="s">
        <v>14</v>
      </c>
      <c r="E839" s="1" t="n">
        <v>35703</v>
      </c>
      <c r="F839" s="1" t="n">
        <v>35778</v>
      </c>
      <c r="G839" s="1" t="n">
        <v>0.03</v>
      </c>
      <c r="H839" s="1" t="n">
        <v>1436</v>
      </c>
      <c r="I839" s="1" t="n">
        <v>4100</v>
      </c>
    </row>
    <row r="840" customFormat="false" ht="15.75" hidden="false" customHeight="true" outlineLevel="0" collapsed="false">
      <c r="A840" s="1" t="s">
        <v>924</v>
      </c>
      <c r="B840" s="1" t="s">
        <v>12</v>
      </c>
      <c r="C840" s="1" t="s">
        <v>97</v>
      </c>
      <c r="D840" s="1" t="s">
        <v>58</v>
      </c>
      <c r="E840" s="1" t="n">
        <v>574</v>
      </c>
      <c r="F840" s="1" t="n">
        <v>588</v>
      </c>
      <c r="G840" s="1" t="n">
        <v>97.7</v>
      </c>
      <c r="H840" s="1" t="n">
        <v>96.3</v>
      </c>
      <c r="I840" s="1" t="n">
        <v>2</v>
      </c>
    </row>
    <row r="841" customFormat="false" ht="15.75" hidden="false" customHeight="true" outlineLevel="0" collapsed="false">
      <c r="A841" s="1" t="s">
        <v>925</v>
      </c>
      <c r="B841" s="1" t="s">
        <v>23</v>
      </c>
      <c r="C841" s="1" t="s">
        <v>13</v>
      </c>
      <c r="D841" s="1" t="s">
        <v>14</v>
      </c>
      <c r="E841" s="1" t="n">
        <v>1175</v>
      </c>
      <c r="F841" s="1" t="n">
        <v>1180</v>
      </c>
      <c r="G841" s="1" t="n">
        <v>87.8</v>
      </c>
      <c r="H841" s="1" t="n">
        <v>105.2</v>
      </c>
      <c r="I841" s="1" t="n">
        <v>147.7</v>
      </c>
    </row>
    <row r="842" customFormat="false" ht="15.75" hidden="false" customHeight="true" outlineLevel="0" collapsed="false">
      <c r="A842" s="1" t="s">
        <v>926</v>
      </c>
      <c r="B842" s="1" t="s">
        <v>23</v>
      </c>
      <c r="C842" s="1" t="s">
        <v>13</v>
      </c>
      <c r="D842" s="1" t="s">
        <v>14</v>
      </c>
      <c r="E842" s="1" t="n">
        <v>1200</v>
      </c>
      <c r="F842" s="1" t="n">
        <v>1202</v>
      </c>
      <c r="G842" s="1" t="n">
        <v>87.4</v>
      </c>
      <c r="H842" s="1" t="n">
        <v>109.6</v>
      </c>
      <c r="I842" s="1" t="n">
        <v>148</v>
      </c>
    </row>
    <row r="843" customFormat="false" ht="15.75" hidden="false" customHeight="true" outlineLevel="0" collapsed="false">
      <c r="A843" s="1" t="s">
        <v>927</v>
      </c>
      <c r="B843" s="1" t="s">
        <v>52</v>
      </c>
      <c r="C843" s="1" t="s">
        <v>37</v>
      </c>
      <c r="D843" s="1" t="s">
        <v>14</v>
      </c>
      <c r="E843" s="1" t="n">
        <v>556</v>
      </c>
      <c r="F843" s="1" t="n">
        <v>572</v>
      </c>
      <c r="G843" s="1" t="n">
        <v>97.5</v>
      </c>
      <c r="H843" s="1" t="n">
        <v>95.9</v>
      </c>
      <c r="I843" s="1" t="n">
        <v>93</v>
      </c>
    </row>
    <row r="844" customFormat="false" ht="15.75" hidden="false" customHeight="true" outlineLevel="0" collapsed="false">
      <c r="A844" s="1" t="s">
        <v>928</v>
      </c>
      <c r="B844" s="1" t="s">
        <v>12</v>
      </c>
      <c r="C844" s="1" t="s">
        <v>13</v>
      </c>
      <c r="D844" s="1" t="s">
        <v>14</v>
      </c>
      <c r="E844" s="1" t="n">
        <v>548</v>
      </c>
      <c r="F844" s="1" t="n">
        <v>551</v>
      </c>
      <c r="G844" s="1" t="n">
        <v>53</v>
      </c>
      <c r="H844" s="1" t="n">
        <v>95.6</v>
      </c>
      <c r="I844" s="1" t="n">
        <v>260</v>
      </c>
    </row>
    <row r="845" customFormat="false" ht="15.75" hidden="false" customHeight="true" outlineLevel="0" collapsed="false">
      <c r="A845" s="1" t="s">
        <v>929</v>
      </c>
      <c r="B845" s="1" t="s">
        <v>12</v>
      </c>
      <c r="C845" s="1" t="s">
        <v>21</v>
      </c>
      <c r="D845" s="1" t="s">
        <v>58</v>
      </c>
      <c r="E845" s="1" t="n">
        <v>572</v>
      </c>
      <c r="F845" s="1" t="n">
        <v>592</v>
      </c>
      <c r="G845" s="1" t="n">
        <v>97.7</v>
      </c>
      <c r="H845" s="1" t="n">
        <v>96.3</v>
      </c>
    </row>
    <row r="846" customFormat="false" ht="15.75" hidden="false" customHeight="true" outlineLevel="0" collapsed="false">
      <c r="A846" s="1" t="s">
        <v>930</v>
      </c>
      <c r="B846" s="1" t="s">
        <v>20</v>
      </c>
      <c r="C846" s="1" t="s">
        <v>47</v>
      </c>
      <c r="D846" s="1" t="s">
        <v>48</v>
      </c>
      <c r="E846" s="1" t="n">
        <v>19124</v>
      </c>
      <c r="F846" s="1" t="n">
        <v>19133</v>
      </c>
      <c r="G846" s="1" t="n">
        <v>64.9</v>
      </c>
      <c r="H846" s="1" t="n">
        <v>675.67</v>
      </c>
      <c r="I846" s="1" t="n">
        <v>1480</v>
      </c>
    </row>
    <row r="847" customFormat="false" ht="15.75" hidden="false" customHeight="true" outlineLevel="0" collapsed="false">
      <c r="A847" s="1" t="s">
        <v>931</v>
      </c>
      <c r="B847" s="1" t="s">
        <v>20</v>
      </c>
      <c r="C847" s="1" t="s">
        <v>13</v>
      </c>
      <c r="D847" s="1" t="s">
        <v>14</v>
      </c>
      <c r="E847" s="1" t="n">
        <v>35784</v>
      </c>
      <c r="F847" s="1" t="n">
        <v>35789</v>
      </c>
      <c r="G847" s="1" t="n">
        <v>0.06</v>
      </c>
      <c r="H847" s="1" t="n">
        <v>1436.11</v>
      </c>
      <c r="I847" s="1" t="n">
        <v>4463</v>
      </c>
    </row>
    <row r="848" customFormat="false" ht="15.75" hidden="false" customHeight="true" outlineLevel="0" collapsed="false">
      <c r="A848" s="1" t="s">
        <v>932</v>
      </c>
      <c r="B848" s="1" t="s">
        <v>12</v>
      </c>
      <c r="C848" s="1" t="s">
        <v>13</v>
      </c>
      <c r="D848" s="1" t="s">
        <v>14</v>
      </c>
      <c r="E848" s="1" t="n">
        <v>516</v>
      </c>
      <c r="F848" s="1" t="n">
        <v>536</v>
      </c>
      <c r="G848" s="1" t="n">
        <v>97.5</v>
      </c>
      <c r="H848" s="1" t="n">
        <v>94.3</v>
      </c>
      <c r="I848" s="1" t="n">
        <v>2</v>
      </c>
    </row>
    <row r="849" customFormat="false" ht="15.75" hidden="false" customHeight="true" outlineLevel="0" collapsed="false">
      <c r="A849" s="1" t="s">
        <v>933</v>
      </c>
      <c r="B849" s="1" t="s">
        <v>12</v>
      </c>
      <c r="C849" s="1" t="s">
        <v>13</v>
      </c>
      <c r="D849" s="1" t="s">
        <v>14</v>
      </c>
      <c r="E849" s="1" t="n">
        <v>548</v>
      </c>
      <c r="F849" s="1" t="n">
        <v>561</v>
      </c>
      <c r="G849" s="1" t="n">
        <v>53</v>
      </c>
      <c r="H849" s="1" t="n">
        <v>95.6</v>
      </c>
      <c r="I849" s="1" t="n">
        <v>260</v>
      </c>
    </row>
    <row r="850" customFormat="false" ht="15.75" hidden="false" customHeight="true" outlineLevel="0" collapsed="false">
      <c r="A850" s="1" t="s">
        <v>934</v>
      </c>
      <c r="B850" s="1" t="s">
        <v>23</v>
      </c>
      <c r="C850" s="1" t="s">
        <v>13</v>
      </c>
      <c r="D850" s="1" t="s">
        <v>14</v>
      </c>
      <c r="E850" s="1" t="n">
        <v>1200</v>
      </c>
      <c r="F850" s="1" t="n">
        <v>1202</v>
      </c>
      <c r="G850" s="1" t="n">
        <v>87.4</v>
      </c>
      <c r="H850" s="1" t="n">
        <v>109.3</v>
      </c>
      <c r="I850" s="1" t="n">
        <v>148</v>
      </c>
    </row>
    <row r="851" customFormat="false" ht="15.75" hidden="false" customHeight="true" outlineLevel="0" collapsed="false">
      <c r="A851" s="1" t="s">
        <v>935</v>
      </c>
      <c r="B851" s="1" t="s">
        <v>12</v>
      </c>
      <c r="C851" s="1" t="s">
        <v>13</v>
      </c>
      <c r="D851" s="1" t="s">
        <v>14</v>
      </c>
      <c r="E851" s="1" t="n">
        <v>539</v>
      </c>
      <c r="F851" s="1" t="n">
        <v>541</v>
      </c>
      <c r="G851" s="1" t="n">
        <v>53</v>
      </c>
      <c r="H851" s="1" t="n">
        <v>95.4</v>
      </c>
      <c r="I851" s="1" t="n">
        <v>260</v>
      </c>
    </row>
    <row r="852" customFormat="false" ht="15.75" hidden="false" customHeight="true" outlineLevel="0" collapsed="false">
      <c r="A852" s="1" t="s">
        <v>936</v>
      </c>
      <c r="B852" s="1" t="s">
        <v>52</v>
      </c>
      <c r="C852" s="1" t="s">
        <v>13</v>
      </c>
      <c r="D852" s="1" t="s">
        <v>18</v>
      </c>
      <c r="E852" s="1" t="n">
        <v>523</v>
      </c>
      <c r="F852" s="1" t="n">
        <v>546</v>
      </c>
      <c r="G852" s="1" t="n">
        <v>97.5</v>
      </c>
      <c r="H852" s="1" t="n">
        <v>95.3</v>
      </c>
      <c r="I852" s="1" t="n">
        <v>95</v>
      </c>
    </row>
    <row r="853" customFormat="false" ht="15.75" hidden="false" customHeight="true" outlineLevel="0" collapsed="false">
      <c r="A853" s="1" t="s">
        <v>937</v>
      </c>
      <c r="B853" s="1" t="s">
        <v>52</v>
      </c>
      <c r="C853" s="1" t="s">
        <v>13</v>
      </c>
      <c r="D853" s="1" t="s">
        <v>98</v>
      </c>
      <c r="E853" s="1" t="n">
        <v>275</v>
      </c>
      <c r="F853" s="1" t="n">
        <v>290</v>
      </c>
      <c r="G853" s="1" t="n">
        <v>96.8</v>
      </c>
      <c r="I853" s="1" t="n">
        <v>200</v>
      </c>
    </row>
    <row r="854" customFormat="false" ht="15.75" hidden="false" customHeight="true" outlineLevel="0" collapsed="false">
      <c r="A854" s="1" t="s">
        <v>938</v>
      </c>
      <c r="B854" s="1" t="s">
        <v>52</v>
      </c>
      <c r="C854" s="1" t="s">
        <v>97</v>
      </c>
      <c r="D854" s="1" t="s">
        <v>58</v>
      </c>
      <c r="E854" s="1" t="n">
        <v>517</v>
      </c>
      <c r="F854" s="1" t="n">
        <v>534</v>
      </c>
      <c r="G854" s="1" t="n">
        <v>97.46</v>
      </c>
      <c r="H854" s="1" t="n">
        <v>95.15</v>
      </c>
      <c r="I854" s="1" t="n">
        <v>12</v>
      </c>
    </row>
    <row r="855" customFormat="false" ht="15.75" hidden="false" customHeight="true" outlineLevel="0" collapsed="false">
      <c r="A855" s="1" t="s">
        <v>939</v>
      </c>
      <c r="B855" s="1" t="s">
        <v>71</v>
      </c>
      <c r="C855" s="1" t="s">
        <v>97</v>
      </c>
      <c r="D855" s="1" t="s">
        <v>58</v>
      </c>
      <c r="E855" s="1" t="n">
        <v>650</v>
      </c>
      <c r="F855" s="1" t="n">
        <v>669</v>
      </c>
      <c r="G855" s="1" t="n">
        <v>98.2</v>
      </c>
      <c r="H855" s="1" t="n">
        <v>97.9</v>
      </c>
      <c r="I855" s="1" t="n">
        <v>7.1</v>
      </c>
    </row>
    <row r="856" customFormat="false" ht="15.75" hidden="false" customHeight="true" outlineLevel="0" collapsed="false">
      <c r="A856" s="1" t="s">
        <v>940</v>
      </c>
      <c r="B856" s="1" t="s">
        <v>12</v>
      </c>
      <c r="C856" s="1" t="s">
        <v>13</v>
      </c>
      <c r="D856" s="1" t="s">
        <v>14</v>
      </c>
      <c r="E856" s="1" t="n">
        <v>538</v>
      </c>
      <c r="F856" s="1" t="n">
        <v>541</v>
      </c>
      <c r="G856" s="1" t="n">
        <v>53.2</v>
      </c>
      <c r="H856" s="1" t="n">
        <v>95.4</v>
      </c>
      <c r="I856" s="1" t="n">
        <v>260</v>
      </c>
    </row>
    <row r="857" customFormat="false" ht="15.75" hidden="false" customHeight="true" outlineLevel="0" collapsed="false">
      <c r="A857" s="1" t="s">
        <v>941</v>
      </c>
      <c r="B857" s="1" t="s">
        <v>12</v>
      </c>
      <c r="C857" s="1" t="s">
        <v>13</v>
      </c>
      <c r="D857" s="1" t="s">
        <v>18</v>
      </c>
      <c r="E857" s="1" t="n">
        <v>494</v>
      </c>
      <c r="F857" s="1" t="n">
        <v>505</v>
      </c>
      <c r="G857" s="1" t="n">
        <v>97.5</v>
      </c>
      <c r="H857" s="1" t="n">
        <v>94.6</v>
      </c>
      <c r="I857" s="1" t="n">
        <v>4</v>
      </c>
    </row>
    <row r="858" customFormat="false" ht="15.75" hidden="false" customHeight="true" outlineLevel="0" collapsed="false">
      <c r="A858" s="1" t="s">
        <v>942</v>
      </c>
      <c r="B858" s="1" t="s">
        <v>12</v>
      </c>
      <c r="C858" s="1" t="s">
        <v>13</v>
      </c>
      <c r="D858" s="1" t="s">
        <v>14</v>
      </c>
      <c r="E858" s="1" t="n">
        <v>348</v>
      </c>
      <c r="F858" s="1" t="n">
        <v>351</v>
      </c>
      <c r="G858" s="1" t="n">
        <v>53.2</v>
      </c>
      <c r="H858" s="1" t="n">
        <v>91.5</v>
      </c>
      <c r="I858" s="1" t="n">
        <v>260</v>
      </c>
    </row>
    <row r="859" customFormat="false" ht="15.75" hidden="false" customHeight="true" outlineLevel="0" collapsed="false">
      <c r="A859" s="1" t="s">
        <v>943</v>
      </c>
      <c r="B859" s="1" t="s">
        <v>186</v>
      </c>
      <c r="C859" s="1" t="s">
        <v>37</v>
      </c>
      <c r="D859" s="1" t="s">
        <v>98</v>
      </c>
      <c r="E859" s="1" t="n">
        <v>817</v>
      </c>
      <c r="F859" s="1" t="n">
        <v>832</v>
      </c>
      <c r="G859" s="1" t="n">
        <v>98.7</v>
      </c>
      <c r="H859" s="1" t="n">
        <v>101.4</v>
      </c>
      <c r="I859" s="1" t="n">
        <v>53</v>
      </c>
    </row>
    <row r="860" customFormat="false" ht="15.75" hidden="false" customHeight="true" outlineLevel="0" collapsed="false">
      <c r="A860" s="1" t="s">
        <v>944</v>
      </c>
      <c r="B860" s="1" t="s">
        <v>12</v>
      </c>
      <c r="C860" s="1" t="s">
        <v>13</v>
      </c>
      <c r="D860" s="1" t="s">
        <v>14</v>
      </c>
      <c r="E860" s="1" t="n">
        <v>565</v>
      </c>
      <c r="F860" s="1" t="n">
        <v>567</v>
      </c>
      <c r="G860" s="1" t="n">
        <v>43</v>
      </c>
      <c r="H860" s="1" t="n">
        <v>95.8</v>
      </c>
      <c r="I860" s="1" t="n">
        <v>290</v>
      </c>
    </row>
    <row r="861" customFormat="false" ht="15.75" hidden="false" customHeight="true" outlineLevel="0" collapsed="false">
      <c r="A861" s="1" t="s">
        <v>945</v>
      </c>
      <c r="B861" s="1" t="s">
        <v>12</v>
      </c>
      <c r="C861" s="1" t="s">
        <v>13</v>
      </c>
      <c r="D861" s="1" t="s">
        <v>14</v>
      </c>
      <c r="E861" s="1" t="n">
        <v>548</v>
      </c>
      <c r="F861" s="1" t="n">
        <v>561</v>
      </c>
      <c r="G861" s="1" t="n">
        <v>53</v>
      </c>
      <c r="H861" s="1" t="n">
        <v>95.6</v>
      </c>
      <c r="I861" s="1" t="n">
        <v>260</v>
      </c>
    </row>
    <row r="862" customFormat="false" ht="15.75" hidden="false" customHeight="true" outlineLevel="0" collapsed="false">
      <c r="A862" s="1" t="s">
        <v>946</v>
      </c>
      <c r="B862" s="1" t="s">
        <v>23</v>
      </c>
      <c r="C862" s="1" t="s">
        <v>13</v>
      </c>
      <c r="D862" s="1" t="s">
        <v>14</v>
      </c>
      <c r="E862" s="1" t="n">
        <v>977</v>
      </c>
      <c r="F862" s="1" t="n">
        <v>982</v>
      </c>
      <c r="G862" s="1" t="n">
        <v>87.5</v>
      </c>
      <c r="H862" s="1" t="n">
        <v>104.5</v>
      </c>
      <c r="I862" s="1" t="n">
        <v>148</v>
      </c>
    </row>
    <row r="863" customFormat="false" ht="15.75" hidden="false" customHeight="true" outlineLevel="0" collapsed="false">
      <c r="A863" s="1" t="s">
        <v>947</v>
      </c>
      <c r="B863" s="1" t="s">
        <v>56</v>
      </c>
      <c r="C863" s="1" t="s">
        <v>13</v>
      </c>
      <c r="D863" s="1" t="s">
        <v>58</v>
      </c>
      <c r="E863" s="1" t="n">
        <v>495</v>
      </c>
      <c r="F863" s="1" t="n">
        <v>515</v>
      </c>
      <c r="G863" s="1" t="n">
        <v>85</v>
      </c>
      <c r="H863" s="1" t="n">
        <v>95</v>
      </c>
      <c r="I863" s="1" t="n">
        <v>1</v>
      </c>
    </row>
    <row r="864" customFormat="false" ht="15.75" hidden="false" customHeight="true" outlineLevel="0" collapsed="false">
      <c r="A864" s="1" t="s">
        <v>948</v>
      </c>
      <c r="B864" s="1" t="s">
        <v>12</v>
      </c>
      <c r="C864" s="1" t="s">
        <v>13</v>
      </c>
      <c r="D864" s="1" t="s">
        <v>14</v>
      </c>
      <c r="E864" s="1" t="n">
        <v>539</v>
      </c>
      <c r="F864" s="1" t="n">
        <v>541</v>
      </c>
      <c r="G864" s="1" t="n">
        <v>53.2</v>
      </c>
      <c r="H864" s="1" t="n">
        <v>95.4</v>
      </c>
      <c r="I864" s="1" t="n">
        <v>260</v>
      </c>
    </row>
    <row r="865" customFormat="false" ht="15.75" hidden="false" customHeight="true" outlineLevel="0" collapsed="false">
      <c r="A865" s="1" t="s">
        <v>949</v>
      </c>
      <c r="B865" s="1" t="s">
        <v>12</v>
      </c>
      <c r="C865" s="1" t="s">
        <v>13</v>
      </c>
      <c r="D865" s="1" t="s">
        <v>14</v>
      </c>
      <c r="E865" s="1" t="n">
        <v>260</v>
      </c>
      <c r="F865" s="1" t="n">
        <v>280</v>
      </c>
      <c r="G865" s="1" t="n">
        <v>53</v>
      </c>
      <c r="H865" s="1" t="n">
        <v>95.6</v>
      </c>
      <c r="I865" s="1" t="n">
        <v>260</v>
      </c>
    </row>
    <row r="866" customFormat="false" ht="15.75" hidden="false" customHeight="true" outlineLevel="0" collapsed="false">
      <c r="A866" s="1" t="s">
        <v>950</v>
      </c>
      <c r="B866" s="1" t="s">
        <v>12</v>
      </c>
      <c r="C866" s="1" t="s">
        <v>13</v>
      </c>
      <c r="D866" s="1" t="s">
        <v>18</v>
      </c>
      <c r="E866" s="1" t="n">
        <v>496</v>
      </c>
      <c r="F866" s="1" t="n">
        <v>505</v>
      </c>
      <c r="G866" s="1" t="n">
        <v>97.5</v>
      </c>
      <c r="H866" s="1" t="n">
        <v>94.6</v>
      </c>
      <c r="I866" s="1" t="n">
        <v>4</v>
      </c>
    </row>
    <row r="867" customFormat="false" ht="15.75" hidden="false" customHeight="true" outlineLevel="0" collapsed="false">
      <c r="A867" s="1" t="s">
        <v>951</v>
      </c>
      <c r="B867" s="1" t="s">
        <v>12</v>
      </c>
      <c r="C867" s="1" t="s">
        <v>13</v>
      </c>
      <c r="D867" s="1" t="s">
        <v>14</v>
      </c>
      <c r="E867" s="1" t="n">
        <v>548</v>
      </c>
      <c r="F867" s="1" t="n">
        <v>551</v>
      </c>
      <c r="G867" s="1" t="n">
        <v>53</v>
      </c>
      <c r="H867" s="1" t="n">
        <v>95.6</v>
      </c>
      <c r="I867" s="1" t="n">
        <v>260</v>
      </c>
    </row>
    <row r="868" customFormat="false" ht="15.75" hidden="false" customHeight="true" outlineLevel="0" collapsed="false">
      <c r="A868" s="1" t="s">
        <v>952</v>
      </c>
      <c r="B868" s="1" t="s">
        <v>432</v>
      </c>
      <c r="C868" s="1" t="s">
        <v>97</v>
      </c>
      <c r="D868" s="1" t="s">
        <v>161</v>
      </c>
      <c r="E868" s="1" t="n">
        <v>692</v>
      </c>
      <c r="F868" s="1" t="n">
        <v>703</v>
      </c>
      <c r="G868" s="1" t="n">
        <v>98.1</v>
      </c>
      <c r="H868" s="1" t="n">
        <v>100</v>
      </c>
      <c r="I868" s="1" t="n">
        <v>4</v>
      </c>
    </row>
    <row r="869" customFormat="false" ht="15.75" hidden="false" customHeight="true" outlineLevel="0" collapsed="false">
      <c r="A869" s="1" t="s">
        <v>953</v>
      </c>
      <c r="B869" s="1" t="s">
        <v>12</v>
      </c>
      <c r="C869" s="1" t="s">
        <v>13</v>
      </c>
      <c r="D869" s="1" t="s">
        <v>14</v>
      </c>
      <c r="E869" s="1" t="n">
        <v>539</v>
      </c>
      <c r="F869" s="1" t="n">
        <v>541</v>
      </c>
      <c r="G869" s="1" t="n">
        <v>53</v>
      </c>
      <c r="H869" s="1" t="n">
        <v>95.4</v>
      </c>
      <c r="I869" s="1" t="n">
        <v>260</v>
      </c>
    </row>
    <row r="870" customFormat="false" ht="15.75" hidden="false" customHeight="true" outlineLevel="0" collapsed="false">
      <c r="A870" s="1" t="s">
        <v>954</v>
      </c>
      <c r="B870" s="1" t="s">
        <v>29</v>
      </c>
      <c r="C870" s="1" t="s">
        <v>13</v>
      </c>
      <c r="D870" s="1" t="s">
        <v>18</v>
      </c>
      <c r="E870" s="1" t="n">
        <v>561</v>
      </c>
      <c r="F870" s="1" t="n">
        <v>575</v>
      </c>
      <c r="G870" s="1" t="n">
        <v>36.9</v>
      </c>
      <c r="H870" s="1" t="n">
        <v>96.1</v>
      </c>
    </row>
    <row r="871" customFormat="false" ht="15.75" hidden="false" customHeight="true" outlineLevel="0" collapsed="false">
      <c r="A871" s="1" t="s">
        <v>625</v>
      </c>
      <c r="B871" s="1" t="s">
        <v>12</v>
      </c>
      <c r="C871" s="1" t="s">
        <v>21</v>
      </c>
      <c r="D871" s="1" t="s">
        <v>18</v>
      </c>
      <c r="E871" s="1" t="n">
        <v>1014</v>
      </c>
      <c r="F871" s="1" t="n">
        <v>1099</v>
      </c>
      <c r="G871" s="1" t="n">
        <v>63.4</v>
      </c>
      <c r="H871" s="1" t="n">
        <v>107.4</v>
      </c>
      <c r="I871" s="1" t="n">
        <v>6500</v>
      </c>
    </row>
    <row r="872" customFormat="false" ht="15.75" hidden="false" customHeight="true" outlineLevel="0" collapsed="false">
      <c r="A872" s="1" t="s">
        <v>955</v>
      </c>
      <c r="B872" s="1" t="s">
        <v>20</v>
      </c>
      <c r="C872" s="1" t="s">
        <v>47</v>
      </c>
      <c r="D872" s="1" t="s">
        <v>14</v>
      </c>
      <c r="E872" s="1" t="n">
        <v>35780</v>
      </c>
      <c r="F872" s="1" t="n">
        <v>35792</v>
      </c>
      <c r="G872" s="1" t="n">
        <v>0</v>
      </c>
      <c r="H872" s="1" t="n">
        <v>1436.08</v>
      </c>
      <c r="I872" s="1" t="n">
        <v>3000</v>
      </c>
    </row>
    <row r="873" customFormat="false" ht="15.75" hidden="false" customHeight="true" outlineLevel="0" collapsed="false">
      <c r="A873" s="1" t="s">
        <v>956</v>
      </c>
      <c r="B873" s="1" t="s">
        <v>12</v>
      </c>
      <c r="C873" s="1" t="s">
        <v>13</v>
      </c>
      <c r="D873" s="1" t="s">
        <v>14</v>
      </c>
      <c r="E873" s="1" t="n">
        <v>548</v>
      </c>
      <c r="F873" s="1" t="n">
        <v>561</v>
      </c>
      <c r="G873" s="1" t="n">
        <v>53</v>
      </c>
      <c r="H873" s="1" t="n">
        <v>95.6</v>
      </c>
      <c r="I873" s="1" t="n">
        <v>260</v>
      </c>
    </row>
    <row r="874" customFormat="false" ht="15.75" hidden="false" customHeight="true" outlineLevel="0" collapsed="false">
      <c r="A874" s="1" t="s">
        <v>957</v>
      </c>
      <c r="B874" s="1" t="s">
        <v>12</v>
      </c>
      <c r="C874" s="1" t="s">
        <v>13</v>
      </c>
      <c r="D874" s="1" t="s">
        <v>14</v>
      </c>
      <c r="E874" s="1" t="n">
        <v>35785</v>
      </c>
      <c r="F874" s="1" t="n">
        <v>35787</v>
      </c>
      <c r="G874" s="1" t="n">
        <v>0</v>
      </c>
      <c r="H874" s="1" t="n">
        <v>1436.1</v>
      </c>
      <c r="I874" s="1" t="n">
        <v>6418</v>
      </c>
    </row>
    <row r="875" customFormat="false" ht="15.75" hidden="false" customHeight="true" outlineLevel="0" collapsed="false">
      <c r="A875" s="1" t="s">
        <v>958</v>
      </c>
      <c r="B875" s="1" t="s">
        <v>12</v>
      </c>
      <c r="C875" s="1" t="s">
        <v>13</v>
      </c>
      <c r="D875" s="1" t="s">
        <v>14</v>
      </c>
      <c r="E875" s="1" t="n">
        <v>348</v>
      </c>
      <c r="F875" s="1" t="n">
        <v>351</v>
      </c>
      <c r="G875" s="1" t="n">
        <v>53.2</v>
      </c>
      <c r="H875" s="1" t="n">
        <v>91.5</v>
      </c>
      <c r="I875" s="1" t="n">
        <v>260</v>
      </c>
    </row>
    <row r="876" customFormat="false" ht="15.75" hidden="false" customHeight="true" outlineLevel="0" collapsed="false">
      <c r="A876" s="1" t="s">
        <v>959</v>
      </c>
      <c r="B876" s="1" t="s">
        <v>12</v>
      </c>
      <c r="C876" s="1" t="s">
        <v>21</v>
      </c>
      <c r="D876" s="1" t="s">
        <v>58</v>
      </c>
      <c r="E876" s="1" t="n">
        <v>525</v>
      </c>
      <c r="F876" s="1" t="n">
        <v>535</v>
      </c>
      <c r="G876" s="1" t="n">
        <v>97.5</v>
      </c>
      <c r="H876" s="1" t="n">
        <v>94.7</v>
      </c>
    </row>
    <row r="877" customFormat="false" ht="15.75" hidden="false" customHeight="true" outlineLevel="0" collapsed="false">
      <c r="A877" s="1" t="s">
        <v>960</v>
      </c>
      <c r="B877" s="1" t="s">
        <v>12</v>
      </c>
      <c r="C877" s="1" t="s">
        <v>37</v>
      </c>
      <c r="D877" s="1" t="s">
        <v>98</v>
      </c>
      <c r="E877" s="1" t="n">
        <v>588</v>
      </c>
      <c r="F877" s="1" t="n">
        <v>603</v>
      </c>
      <c r="G877" s="1" t="n">
        <v>0.23</v>
      </c>
      <c r="I877" s="1" t="n">
        <v>330</v>
      </c>
    </row>
    <row r="878" customFormat="false" ht="15.75" hidden="false" customHeight="true" outlineLevel="0" collapsed="false">
      <c r="A878" s="1" t="s">
        <v>961</v>
      </c>
      <c r="B878" s="1" t="s">
        <v>186</v>
      </c>
      <c r="C878" s="1" t="s">
        <v>13</v>
      </c>
      <c r="D878" s="1" t="s">
        <v>14</v>
      </c>
      <c r="E878" s="1" t="n">
        <v>627</v>
      </c>
      <c r="F878" s="1" t="n">
        <v>694</v>
      </c>
      <c r="G878" s="1" t="n">
        <v>98.2</v>
      </c>
      <c r="H878" s="1" t="n">
        <v>98</v>
      </c>
      <c r="I878" s="1" t="n">
        <v>12</v>
      </c>
    </row>
    <row r="879" customFormat="false" ht="15.75" hidden="false" customHeight="true" outlineLevel="0" collapsed="false">
      <c r="A879" s="1" t="s">
        <v>962</v>
      </c>
      <c r="B879" s="1" t="s">
        <v>52</v>
      </c>
      <c r="C879" s="1" t="s">
        <v>13</v>
      </c>
      <c r="D879" s="1" t="s">
        <v>58</v>
      </c>
      <c r="E879" s="1" t="n">
        <v>529</v>
      </c>
      <c r="F879" s="1" t="n">
        <v>549</v>
      </c>
      <c r="G879" s="1" t="n">
        <v>97.6</v>
      </c>
      <c r="H879" s="1" t="n">
        <v>95.4</v>
      </c>
      <c r="I879" s="1" t="n">
        <v>8</v>
      </c>
    </row>
    <row r="880" customFormat="false" ht="15.75" hidden="false" customHeight="true" outlineLevel="0" collapsed="false">
      <c r="A880" s="1" t="s">
        <v>963</v>
      </c>
      <c r="B880" s="1" t="s">
        <v>12</v>
      </c>
      <c r="C880" s="1" t="s">
        <v>13</v>
      </c>
      <c r="D880" s="1" t="s">
        <v>14</v>
      </c>
      <c r="E880" s="1" t="n">
        <v>548</v>
      </c>
      <c r="F880" s="1" t="n">
        <v>561</v>
      </c>
      <c r="G880" s="1" t="n">
        <v>53</v>
      </c>
      <c r="H880" s="1" t="n">
        <v>95.6</v>
      </c>
      <c r="I880" s="1" t="n">
        <v>260</v>
      </c>
    </row>
    <row r="881" customFormat="false" ht="15.75" hidden="false" customHeight="true" outlineLevel="0" collapsed="false">
      <c r="A881" s="1" t="s">
        <v>964</v>
      </c>
      <c r="B881" s="1" t="s">
        <v>23</v>
      </c>
      <c r="C881" s="1" t="s">
        <v>13</v>
      </c>
      <c r="D881" s="1" t="s">
        <v>14</v>
      </c>
      <c r="E881" s="1" t="n">
        <v>1200</v>
      </c>
      <c r="F881" s="1" t="n">
        <v>1202</v>
      </c>
      <c r="G881" s="1" t="n">
        <v>87.9</v>
      </c>
      <c r="H881" s="1" t="n">
        <v>109.3</v>
      </c>
      <c r="I881" s="1" t="n">
        <v>148</v>
      </c>
    </row>
    <row r="882" customFormat="false" ht="15.75" hidden="false" customHeight="true" outlineLevel="0" collapsed="false">
      <c r="A882" s="1" t="s">
        <v>965</v>
      </c>
      <c r="B882" s="1" t="s">
        <v>12</v>
      </c>
      <c r="C882" s="1" t="s">
        <v>13</v>
      </c>
      <c r="D882" s="1" t="s">
        <v>14</v>
      </c>
      <c r="E882" s="1" t="n">
        <v>539</v>
      </c>
      <c r="F882" s="1" t="n">
        <v>541</v>
      </c>
      <c r="G882" s="1" t="n">
        <v>53.2</v>
      </c>
      <c r="H882" s="1" t="n">
        <v>95.4</v>
      </c>
      <c r="I882" s="1" t="n">
        <v>260</v>
      </c>
    </row>
    <row r="883" customFormat="false" ht="15.75" hidden="false" customHeight="true" outlineLevel="0" collapsed="false">
      <c r="A883" s="1" t="s">
        <v>966</v>
      </c>
      <c r="B883" s="1" t="s">
        <v>20</v>
      </c>
      <c r="C883" s="1" t="s">
        <v>13</v>
      </c>
      <c r="D883" s="1" t="s">
        <v>14</v>
      </c>
      <c r="E883" s="1" t="n">
        <v>1494</v>
      </c>
      <c r="F883" s="1" t="n">
        <v>1506</v>
      </c>
      <c r="G883" s="1" t="n">
        <v>82.4</v>
      </c>
      <c r="H883" s="1" t="n">
        <v>116</v>
      </c>
      <c r="I883" s="1" t="n">
        <v>280</v>
      </c>
    </row>
    <row r="884" customFormat="false" ht="15.75" hidden="false" customHeight="true" outlineLevel="0" collapsed="false">
      <c r="A884" s="1" t="s">
        <v>967</v>
      </c>
      <c r="B884" s="1" t="s">
        <v>12</v>
      </c>
      <c r="C884" s="1" t="s">
        <v>13</v>
      </c>
      <c r="D884" s="1" t="s">
        <v>14</v>
      </c>
      <c r="E884" s="1" t="n">
        <v>548</v>
      </c>
      <c r="F884" s="1" t="n">
        <v>561</v>
      </c>
      <c r="G884" s="1" t="n">
        <v>53</v>
      </c>
      <c r="H884" s="1" t="n">
        <v>95.6</v>
      </c>
      <c r="I884" s="1" t="n">
        <v>260</v>
      </c>
    </row>
    <row r="885" customFormat="false" ht="15.75" hidden="false" customHeight="true" outlineLevel="0" collapsed="false">
      <c r="A885" s="1" t="s">
        <v>968</v>
      </c>
      <c r="B885" s="1" t="s">
        <v>12</v>
      </c>
      <c r="C885" s="1" t="s">
        <v>21</v>
      </c>
      <c r="D885" s="1" t="s">
        <v>18</v>
      </c>
      <c r="E885" s="1" t="n">
        <v>395</v>
      </c>
      <c r="F885" s="1" t="n">
        <v>419</v>
      </c>
      <c r="G885" s="1" t="n">
        <v>74</v>
      </c>
      <c r="H885" s="1" t="n">
        <v>92.7</v>
      </c>
      <c r="I885" s="1" t="n">
        <v>18000</v>
      </c>
    </row>
    <row r="886" customFormat="false" ht="15.75" hidden="false" customHeight="true" outlineLevel="0" collapsed="false">
      <c r="A886" s="1" t="s">
        <v>969</v>
      </c>
      <c r="B886" s="1" t="s">
        <v>12</v>
      </c>
      <c r="C886" s="1" t="s">
        <v>13</v>
      </c>
      <c r="D886" s="1" t="s">
        <v>14</v>
      </c>
      <c r="E886" s="1" t="n">
        <v>538</v>
      </c>
      <c r="F886" s="1" t="n">
        <v>541</v>
      </c>
      <c r="G886" s="1" t="n">
        <v>53.2</v>
      </c>
      <c r="H886" s="1" t="n">
        <v>95.4</v>
      </c>
      <c r="I886" s="1" t="n">
        <v>260</v>
      </c>
    </row>
    <row r="887" customFormat="false" ht="15.75" hidden="false" customHeight="true" outlineLevel="0" collapsed="false">
      <c r="A887" s="1" t="s">
        <v>970</v>
      </c>
      <c r="B887" s="1" t="s">
        <v>464</v>
      </c>
      <c r="C887" s="1" t="s">
        <v>37</v>
      </c>
      <c r="D887" s="1" t="s">
        <v>98</v>
      </c>
      <c r="E887" s="1" t="n">
        <v>488</v>
      </c>
      <c r="F887" s="1" t="n">
        <v>509</v>
      </c>
      <c r="G887" s="1" t="n">
        <v>97.4</v>
      </c>
      <c r="H887" s="1" t="n">
        <v>95</v>
      </c>
      <c r="I887" s="1" t="n">
        <v>3</v>
      </c>
    </row>
    <row r="888" customFormat="false" ht="15.75" hidden="false" customHeight="true" outlineLevel="0" collapsed="false">
      <c r="A888" s="1" t="s">
        <v>971</v>
      </c>
      <c r="B888" s="1" t="s">
        <v>972</v>
      </c>
      <c r="C888" s="1" t="s">
        <v>37</v>
      </c>
      <c r="D888" s="1" t="s">
        <v>18</v>
      </c>
      <c r="E888" s="1" t="n">
        <v>503</v>
      </c>
      <c r="F888" s="1" t="n">
        <v>507</v>
      </c>
      <c r="G888" s="1" t="n">
        <v>97.5</v>
      </c>
      <c r="H888" s="1" t="n">
        <v>94.7</v>
      </c>
      <c r="I888" s="1" t="n">
        <v>400</v>
      </c>
    </row>
    <row r="889" customFormat="false" ht="15.75" hidden="false" customHeight="true" outlineLevel="0" collapsed="false">
      <c r="A889" s="1" t="s">
        <v>973</v>
      </c>
      <c r="B889" s="1" t="s">
        <v>974</v>
      </c>
      <c r="C889" s="1" t="s">
        <v>37</v>
      </c>
      <c r="D889" s="1" t="s">
        <v>14</v>
      </c>
      <c r="E889" s="1" t="n">
        <v>35795</v>
      </c>
      <c r="F889" s="1" t="n">
        <v>35813</v>
      </c>
      <c r="G889" s="1" t="n">
        <v>0.05</v>
      </c>
      <c r="H889" s="1" t="n">
        <v>1436.23</v>
      </c>
      <c r="I889" s="1" t="n">
        <v>3200</v>
      </c>
    </row>
    <row r="890" customFormat="false" ht="15.75" hidden="false" customHeight="true" outlineLevel="0" collapsed="false">
      <c r="A890" s="1" t="s">
        <v>975</v>
      </c>
      <c r="B890" s="1" t="s">
        <v>12</v>
      </c>
      <c r="C890" s="1" t="s">
        <v>13</v>
      </c>
      <c r="D890" s="1" t="s">
        <v>14</v>
      </c>
      <c r="E890" s="1" t="n">
        <v>538</v>
      </c>
      <c r="F890" s="1" t="n">
        <v>541</v>
      </c>
      <c r="G890" s="1" t="n">
        <v>53.2</v>
      </c>
      <c r="H890" s="1" t="n">
        <v>95.4</v>
      </c>
      <c r="I890" s="1" t="n">
        <v>260</v>
      </c>
    </row>
    <row r="891" customFormat="false" ht="15.75" hidden="false" customHeight="true" outlineLevel="0" collapsed="false">
      <c r="A891" s="1" t="s">
        <v>976</v>
      </c>
      <c r="B891" s="1" t="s">
        <v>12</v>
      </c>
      <c r="C891" s="1" t="s">
        <v>21</v>
      </c>
      <c r="D891" s="1" t="s">
        <v>18</v>
      </c>
      <c r="E891" s="1" t="n">
        <v>35500</v>
      </c>
      <c r="F891" s="1" t="n">
        <v>35500</v>
      </c>
      <c r="G891" s="1" t="n">
        <v>0</v>
      </c>
      <c r="H891" s="1" t="n">
        <v>1436</v>
      </c>
      <c r="I891" s="1" t="n">
        <v>5000</v>
      </c>
    </row>
    <row r="892" customFormat="false" ht="15.75" hidden="false" customHeight="true" outlineLevel="0" collapsed="false">
      <c r="A892" s="1" t="s">
        <v>977</v>
      </c>
      <c r="B892" s="1" t="s">
        <v>12</v>
      </c>
      <c r="C892" s="1" t="s">
        <v>13</v>
      </c>
      <c r="D892" s="1" t="s">
        <v>18</v>
      </c>
      <c r="E892" s="1" t="n">
        <v>512</v>
      </c>
      <c r="F892" s="1" t="n">
        <v>533</v>
      </c>
      <c r="G892" s="1" t="n">
        <v>97.5</v>
      </c>
      <c r="H892" s="1" t="n">
        <v>95.2</v>
      </c>
      <c r="I892" s="1" t="n">
        <v>10</v>
      </c>
    </row>
    <row r="893" customFormat="false" ht="15.75" hidden="false" customHeight="true" outlineLevel="0" collapsed="false">
      <c r="A893" s="1" t="s">
        <v>978</v>
      </c>
      <c r="B893" s="1" t="s">
        <v>12</v>
      </c>
      <c r="C893" s="1" t="s">
        <v>21</v>
      </c>
      <c r="D893" s="1" t="s">
        <v>18</v>
      </c>
      <c r="E893" s="1" t="n">
        <v>1016</v>
      </c>
      <c r="F893" s="1" t="n">
        <v>1203</v>
      </c>
      <c r="G893" s="1" t="n">
        <v>63.4</v>
      </c>
      <c r="H893" s="1" t="n">
        <v>107.4</v>
      </c>
      <c r="I893" s="1" t="n">
        <v>5000</v>
      </c>
    </row>
    <row r="894" customFormat="false" ht="15.75" hidden="false" customHeight="true" outlineLevel="0" collapsed="false">
      <c r="A894" s="1" t="s">
        <v>979</v>
      </c>
      <c r="B894" s="1" t="s">
        <v>12</v>
      </c>
      <c r="C894" s="1" t="s">
        <v>13</v>
      </c>
      <c r="D894" s="1" t="s">
        <v>14</v>
      </c>
      <c r="E894" s="1" t="n">
        <v>577</v>
      </c>
      <c r="F894" s="1" t="n">
        <v>581</v>
      </c>
      <c r="G894" s="1" t="n">
        <v>70</v>
      </c>
      <c r="H894" s="1" t="n">
        <v>96.1</v>
      </c>
      <c r="I894" s="1" t="n">
        <v>290</v>
      </c>
    </row>
    <row r="895" customFormat="false" ht="15.75" hidden="false" customHeight="true" outlineLevel="0" collapsed="false">
      <c r="A895" s="1" t="s">
        <v>980</v>
      </c>
      <c r="B895" s="1" t="s">
        <v>12</v>
      </c>
      <c r="C895" s="1" t="s">
        <v>13</v>
      </c>
      <c r="D895" s="1" t="s">
        <v>14</v>
      </c>
      <c r="E895" s="1" t="n">
        <v>577</v>
      </c>
      <c r="F895" s="1" t="n">
        <v>580</v>
      </c>
      <c r="G895" s="1" t="n">
        <v>70</v>
      </c>
      <c r="H895" s="1" t="n">
        <v>96.1</v>
      </c>
      <c r="I895" s="1" t="n">
        <v>290</v>
      </c>
    </row>
    <row r="896" customFormat="false" ht="15.75" hidden="false" customHeight="true" outlineLevel="0" collapsed="false">
      <c r="A896" s="1" t="s">
        <v>981</v>
      </c>
      <c r="B896" s="1" t="s">
        <v>12</v>
      </c>
      <c r="C896" s="1" t="s">
        <v>13</v>
      </c>
      <c r="D896" s="1" t="s">
        <v>14</v>
      </c>
      <c r="E896" s="1" t="n">
        <v>548</v>
      </c>
      <c r="F896" s="1" t="n">
        <v>561</v>
      </c>
      <c r="G896" s="1" t="n">
        <v>53</v>
      </c>
      <c r="H896" s="1" t="n">
        <v>95.6</v>
      </c>
      <c r="I896" s="1" t="n">
        <v>260</v>
      </c>
    </row>
    <row r="897" customFormat="false" ht="15.75" hidden="false" customHeight="true" outlineLevel="0" collapsed="false">
      <c r="A897" s="1" t="s">
        <v>982</v>
      </c>
      <c r="B897" s="1" t="s">
        <v>12</v>
      </c>
      <c r="C897" s="1" t="s">
        <v>13</v>
      </c>
      <c r="D897" s="1" t="s">
        <v>14</v>
      </c>
      <c r="E897" s="1" t="n">
        <v>549</v>
      </c>
      <c r="F897" s="1" t="n">
        <v>551</v>
      </c>
      <c r="G897" s="1" t="n">
        <v>53</v>
      </c>
      <c r="H897" s="1" t="n">
        <v>95.6</v>
      </c>
      <c r="I897" s="1" t="n">
        <v>227</v>
      </c>
    </row>
    <row r="898" customFormat="false" ht="15.75" hidden="false" customHeight="true" outlineLevel="0" collapsed="false">
      <c r="A898" s="1" t="s">
        <v>983</v>
      </c>
      <c r="B898" s="1" t="s">
        <v>52</v>
      </c>
      <c r="C898" s="1" t="s">
        <v>37</v>
      </c>
      <c r="D898" s="1" t="s">
        <v>18</v>
      </c>
      <c r="E898" s="1" t="n">
        <v>688</v>
      </c>
      <c r="F898" s="1" t="n">
        <v>695</v>
      </c>
      <c r="G898" s="1" t="n">
        <v>98.3</v>
      </c>
      <c r="H898" s="1" t="n">
        <v>98.4</v>
      </c>
      <c r="I898" s="1" t="n">
        <v>4200</v>
      </c>
    </row>
    <row r="899" customFormat="false" ht="15.75" hidden="false" customHeight="true" outlineLevel="0" collapsed="false">
      <c r="A899" s="1" t="s">
        <v>984</v>
      </c>
      <c r="B899" s="1" t="s">
        <v>12</v>
      </c>
      <c r="C899" s="1" t="s">
        <v>13</v>
      </c>
      <c r="D899" s="1" t="s">
        <v>14</v>
      </c>
      <c r="E899" s="1" t="n">
        <v>548</v>
      </c>
      <c r="F899" s="1" t="n">
        <v>561</v>
      </c>
      <c r="G899" s="1" t="n">
        <v>53</v>
      </c>
      <c r="H899" s="1" t="n">
        <v>95.6</v>
      </c>
      <c r="I899" s="1" t="n">
        <v>260</v>
      </c>
    </row>
    <row r="900" customFormat="false" ht="15.75" hidden="false" customHeight="true" outlineLevel="0" collapsed="false">
      <c r="A900" s="1" t="s">
        <v>985</v>
      </c>
      <c r="B900" s="1" t="s">
        <v>986</v>
      </c>
      <c r="C900" s="1" t="s">
        <v>13</v>
      </c>
      <c r="D900" s="1" t="s">
        <v>58</v>
      </c>
      <c r="E900" s="1" t="n">
        <v>519</v>
      </c>
      <c r="F900" s="1" t="n">
        <v>532</v>
      </c>
      <c r="G900" s="1" t="n">
        <v>97.5</v>
      </c>
      <c r="H900" s="1" t="n">
        <v>95.1</v>
      </c>
      <c r="I900" s="1" t="n">
        <v>10</v>
      </c>
    </row>
    <row r="901" customFormat="false" ht="15.75" hidden="false" customHeight="true" outlineLevel="0" collapsed="false">
      <c r="A901" s="1" t="s">
        <v>987</v>
      </c>
      <c r="B901" s="1" t="s">
        <v>36</v>
      </c>
      <c r="C901" s="1" t="s">
        <v>21</v>
      </c>
      <c r="D901" s="1" t="s">
        <v>14</v>
      </c>
      <c r="E901" s="1" t="n">
        <v>35777</v>
      </c>
      <c r="F901" s="1" t="n">
        <v>35796</v>
      </c>
      <c r="G901" s="1" t="n">
        <v>0.01</v>
      </c>
      <c r="H901" s="1" t="n">
        <v>1436.11</v>
      </c>
      <c r="I901" s="1" t="n">
        <v>2250</v>
      </c>
    </row>
    <row r="902" customFormat="false" ht="15.75" hidden="false" customHeight="true" outlineLevel="0" collapsed="false">
      <c r="A902" s="1" t="s">
        <v>988</v>
      </c>
      <c r="B902" s="1" t="s">
        <v>12</v>
      </c>
      <c r="C902" s="1" t="s">
        <v>13</v>
      </c>
      <c r="D902" s="1" t="s">
        <v>14</v>
      </c>
      <c r="E902" s="1" t="n">
        <v>562</v>
      </c>
      <c r="F902" s="1" t="n">
        <v>564</v>
      </c>
      <c r="G902" s="1" t="n">
        <v>97.6</v>
      </c>
      <c r="H902" s="1" t="n">
        <v>95.9</v>
      </c>
      <c r="I902" s="1" t="n">
        <v>260</v>
      </c>
    </row>
    <row r="903" customFormat="false" ht="15.75" hidden="false" customHeight="true" outlineLevel="0" collapsed="false">
      <c r="A903" s="1" t="s">
        <v>989</v>
      </c>
      <c r="B903" s="1" t="s">
        <v>20</v>
      </c>
      <c r="C903" s="1" t="s">
        <v>37</v>
      </c>
      <c r="D903" s="1" t="s">
        <v>18</v>
      </c>
      <c r="E903" s="1" t="n">
        <v>501</v>
      </c>
      <c r="F903" s="1" t="n">
        <v>505</v>
      </c>
      <c r="G903" s="1" t="n">
        <v>97.5</v>
      </c>
      <c r="H903" s="1" t="n">
        <v>94.7</v>
      </c>
      <c r="I903" s="1" t="n">
        <v>400</v>
      </c>
    </row>
    <row r="904" customFormat="false" ht="15.75" hidden="false" customHeight="true" outlineLevel="0" collapsed="false">
      <c r="A904" s="1" t="s">
        <v>990</v>
      </c>
      <c r="B904" s="1" t="s">
        <v>12</v>
      </c>
      <c r="C904" s="1" t="s">
        <v>13</v>
      </c>
      <c r="D904" s="1" t="s">
        <v>14</v>
      </c>
      <c r="E904" s="1" t="n">
        <v>548</v>
      </c>
      <c r="F904" s="1" t="n">
        <v>551</v>
      </c>
      <c r="G904" s="1" t="n">
        <v>53.1</v>
      </c>
      <c r="H904" s="1" t="n">
        <v>95.6</v>
      </c>
      <c r="I904" s="1" t="n">
        <v>227</v>
      </c>
    </row>
    <row r="905" customFormat="false" ht="15.75" hidden="false" customHeight="true" outlineLevel="0" collapsed="false">
      <c r="A905" s="1" t="s">
        <v>991</v>
      </c>
      <c r="B905" s="1" t="s">
        <v>12</v>
      </c>
      <c r="C905" s="1" t="s">
        <v>37</v>
      </c>
      <c r="D905" s="1" t="s">
        <v>98</v>
      </c>
      <c r="E905" s="1" t="n">
        <v>613</v>
      </c>
      <c r="F905" s="1" t="n">
        <v>632</v>
      </c>
      <c r="G905" s="1" t="n">
        <v>6</v>
      </c>
      <c r="H905" s="1" t="n">
        <v>97.2</v>
      </c>
      <c r="I905" s="1" t="n">
        <v>360</v>
      </c>
    </row>
    <row r="906" customFormat="false" ht="15.75" hidden="false" customHeight="true" outlineLevel="0" collapsed="false">
      <c r="A906" s="1" t="s">
        <v>992</v>
      </c>
      <c r="B906" s="1" t="s">
        <v>12</v>
      </c>
      <c r="C906" s="1" t="s">
        <v>13</v>
      </c>
      <c r="D906" s="1" t="s">
        <v>14</v>
      </c>
      <c r="E906" s="1" t="n">
        <v>548</v>
      </c>
      <c r="F906" s="1" t="n">
        <v>561</v>
      </c>
      <c r="G906" s="1" t="n">
        <v>53</v>
      </c>
      <c r="H906" s="1" t="n">
        <v>95.6</v>
      </c>
      <c r="I906" s="1" t="n">
        <v>260</v>
      </c>
    </row>
    <row r="907" customFormat="false" ht="15.75" hidden="false" customHeight="true" outlineLevel="0" collapsed="false">
      <c r="A907" s="1" t="s">
        <v>993</v>
      </c>
      <c r="B907" s="1" t="s">
        <v>12</v>
      </c>
      <c r="C907" s="1" t="s">
        <v>13</v>
      </c>
      <c r="D907" s="1" t="s">
        <v>14</v>
      </c>
      <c r="E907" s="1" t="n">
        <v>538</v>
      </c>
      <c r="F907" s="1" t="n">
        <v>541</v>
      </c>
      <c r="G907" s="1" t="n">
        <v>53.2</v>
      </c>
      <c r="H907" s="1" t="n">
        <v>95.4</v>
      </c>
      <c r="I907" s="1" t="n">
        <v>260</v>
      </c>
    </row>
    <row r="908" customFormat="false" ht="15.75" hidden="false" customHeight="true" outlineLevel="0" collapsed="false">
      <c r="A908" s="1" t="s">
        <v>994</v>
      </c>
      <c r="B908" s="1" t="s">
        <v>12</v>
      </c>
      <c r="C908" s="1" t="s">
        <v>13</v>
      </c>
      <c r="D908" s="1" t="s">
        <v>14</v>
      </c>
      <c r="E908" s="1" t="n">
        <v>564</v>
      </c>
      <c r="F908" s="1" t="n">
        <v>567</v>
      </c>
      <c r="G908" s="1" t="n">
        <v>43</v>
      </c>
      <c r="H908" s="1" t="n">
        <v>95.8</v>
      </c>
      <c r="I908" s="1" t="n">
        <v>290</v>
      </c>
    </row>
    <row r="909" customFormat="false" ht="15.75" hidden="false" customHeight="true" outlineLevel="0" collapsed="false">
      <c r="A909" s="1" t="s">
        <v>995</v>
      </c>
      <c r="B909" s="1" t="s">
        <v>12</v>
      </c>
      <c r="C909" s="1" t="s">
        <v>13</v>
      </c>
      <c r="D909" s="1" t="s">
        <v>14</v>
      </c>
      <c r="E909" s="1" t="n">
        <v>548</v>
      </c>
      <c r="F909" s="1" t="n">
        <v>561</v>
      </c>
      <c r="G909" s="1" t="n">
        <v>53</v>
      </c>
      <c r="H909" s="1" t="n">
        <v>95.6</v>
      </c>
      <c r="I909" s="1" t="n">
        <v>260</v>
      </c>
    </row>
    <row r="910" customFormat="false" ht="15.75" hidden="false" customHeight="true" outlineLevel="0" collapsed="false">
      <c r="A910" s="1" t="s">
        <v>996</v>
      </c>
      <c r="B910" s="1" t="s">
        <v>20</v>
      </c>
      <c r="C910" s="1" t="s">
        <v>21</v>
      </c>
      <c r="D910" s="1" t="s">
        <v>14</v>
      </c>
      <c r="E910" s="1" t="n">
        <v>1477</v>
      </c>
      <c r="F910" s="1" t="n">
        <v>1509</v>
      </c>
      <c r="G910" s="1" t="n">
        <v>82.5</v>
      </c>
      <c r="H910" s="1" t="n">
        <v>115.8</v>
      </c>
      <c r="I910" s="1" t="n">
        <v>280</v>
      </c>
    </row>
    <row r="911" customFormat="false" ht="15.75" hidden="false" customHeight="true" outlineLevel="0" collapsed="false">
      <c r="A911" s="1" t="s">
        <v>997</v>
      </c>
      <c r="B911" s="1" t="s">
        <v>12</v>
      </c>
      <c r="C911" s="1" t="s">
        <v>13</v>
      </c>
      <c r="D911" s="1" t="s">
        <v>18</v>
      </c>
      <c r="E911" s="1" t="n">
        <v>519</v>
      </c>
      <c r="F911" s="1" t="n">
        <v>535</v>
      </c>
      <c r="G911" s="1" t="n">
        <v>97.5</v>
      </c>
      <c r="H911" s="1" t="n">
        <v>95.2</v>
      </c>
      <c r="I911" s="1" t="n">
        <v>4</v>
      </c>
    </row>
    <row r="912" customFormat="false" ht="15.75" hidden="false" customHeight="true" outlineLevel="0" collapsed="false">
      <c r="A912" s="1" t="s">
        <v>998</v>
      </c>
      <c r="B912" s="1" t="s">
        <v>192</v>
      </c>
      <c r="C912" s="1" t="s">
        <v>13</v>
      </c>
      <c r="D912" s="1" t="s">
        <v>14</v>
      </c>
      <c r="E912" s="1" t="n">
        <v>35767</v>
      </c>
      <c r="F912" s="1" t="n">
        <v>35805</v>
      </c>
      <c r="G912" s="1" t="n">
        <v>0.03</v>
      </c>
      <c r="H912" s="1" t="n">
        <v>1436.08</v>
      </c>
      <c r="I912" s="1" t="n">
        <v>5465</v>
      </c>
    </row>
    <row r="913" customFormat="false" ht="15.75" hidden="false" customHeight="true" outlineLevel="0" collapsed="false">
      <c r="A913" s="1" t="s">
        <v>999</v>
      </c>
      <c r="B913" s="1" t="s">
        <v>52</v>
      </c>
      <c r="C913" s="1" t="s">
        <v>37</v>
      </c>
      <c r="D913" s="1" t="s">
        <v>14</v>
      </c>
      <c r="E913" s="1" t="n">
        <v>35778</v>
      </c>
      <c r="F913" s="1" t="n">
        <v>35795</v>
      </c>
      <c r="G913" s="1" t="n">
        <v>3</v>
      </c>
      <c r="H913" s="1" t="n">
        <v>1436.1</v>
      </c>
    </row>
    <row r="914" customFormat="false" ht="15.75" hidden="false" customHeight="true" outlineLevel="0" collapsed="false">
      <c r="A914" s="1" t="s">
        <v>1000</v>
      </c>
      <c r="B914" s="1" t="s">
        <v>23</v>
      </c>
      <c r="C914" s="1" t="s">
        <v>13</v>
      </c>
      <c r="D914" s="1" t="s">
        <v>14</v>
      </c>
      <c r="E914" s="1" t="n">
        <v>1200</v>
      </c>
      <c r="F914" s="1" t="n">
        <v>1202</v>
      </c>
      <c r="G914" s="1" t="n">
        <v>87.4</v>
      </c>
      <c r="H914" s="1" t="n">
        <v>109.6</v>
      </c>
      <c r="I914" s="1" t="n">
        <v>148</v>
      </c>
    </row>
    <row r="915" customFormat="false" ht="15.75" hidden="false" customHeight="true" outlineLevel="0" collapsed="false">
      <c r="A915" s="1" t="s">
        <v>1001</v>
      </c>
      <c r="B915" s="1" t="s">
        <v>12</v>
      </c>
      <c r="C915" s="1" t="s">
        <v>37</v>
      </c>
      <c r="D915" s="1" t="s">
        <v>18</v>
      </c>
      <c r="E915" s="1" t="n">
        <v>35781</v>
      </c>
      <c r="F915" s="1" t="n">
        <v>35804</v>
      </c>
      <c r="G915" s="1" t="n">
        <v>0.1</v>
      </c>
      <c r="H915" s="1" t="n">
        <v>1436.1</v>
      </c>
      <c r="I915" s="1" t="n">
        <v>5209</v>
      </c>
    </row>
    <row r="916" customFormat="false" ht="15.75" hidden="false" customHeight="true" outlineLevel="0" collapsed="false">
      <c r="A916" s="1" t="s">
        <v>1002</v>
      </c>
      <c r="B916" s="1" t="s">
        <v>12</v>
      </c>
      <c r="C916" s="1" t="s">
        <v>13</v>
      </c>
      <c r="D916" s="1" t="s">
        <v>14</v>
      </c>
      <c r="E916" s="1" t="n">
        <v>538</v>
      </c>
      <c r="F916" s="1" t="n">
        <v>541</v>
      </c>
      <c r="G916" s="1" t="n">
        <v>53.2</v>
      </c>
      <c r="H916" s="1" t="n">
        <v>95.4</v>
      </c>
      <c r="I916" s="1" t="n">
        <v>260</v>
      </c>
    </row>
    <row r="917" customFormat="false" ht="15.75" hidden="false" customHeight="true" outlineLevel="0" collapsed="false">
      <c r="A917" s="1" t="s">
        <v>1003</v>
      </c>
      <c r="B917" s="1" t="s">
        <v>12</v>
      </c>
      <c r="C917" s="1" t="s">
        <v>13</v>
      </c>
      <c r="D917" s="1" t="s">
        <v>14</v>
      </c>
      <c r="E917" s="1" t="n">
        <v>538</v>
      </c>
      <c r="F917" s="1" t="n">
        <v>541</v>
      </c>
      <c r="G917" s="1" t="n">
        <v>53.2</v>
      </c>
      <c r="H917" s="1" t="n">
        <v>95.4</v>
      </c>
      <c r="I917" s="1" t="n">
        <v>260</v>
      </c>
    </row>
    <row r="918" customFormat="false" ht="15.75" hidden="false" customHeight="true" outlineLevel="0" collapsed="false">
      <c r="A918" s="1" t="s">
        <v>1004</v>
      </c>
      <c r="B918" s="1" t="s">
        <v>20</v>
      </c>
      <c r="C918" s="1" t="s">
        <v>47</v>
      </c>
      <c r="D918" s="1" t="s">
        <v>48</v>
      </c>
      <c r="E918" s="1" t="n">
        <v>19110</v>
      </c>
      <c r="F918" s="1" t="n">
        <v>19149</v>
      </c>
      <c r="G918" s="1" t="n">
        <v>64.8</v>
      </c>
      <c r="H918" s="1" t="n">
        <v>676.2</v>
      </c>
      <c r="I918" s="1" t="n">
        <v>1415</v>
      </c>
    </row>
    <row r="919" customFormat="false" ht="15.75" hidden="false" customHeight="true" outlineLevel="0" collapsed="false">
      <c r="A919" s="1" t="s">
        <v>1005</v>
      </c>
      <c r="B919" s="1" t="s">
        <v>224</v>
      </c>
      <c r="C919" s="1" t="s">
        <v>13</v>
      </c>
      <c r="D919" s="1" t="s">
        <v>18</v>
      </c>
      <c r="E919" s="1" t="n">
        <v>517</v>
      </c>
      <c r="F919" s="1" t="n">
        <v>534</v>
      </c>
      <c r="G919" s="1" t="n">
        <v>97.5</v>
      </c>
      <c r="H919" s="1" t="n">
        <v>95.2</v>
      </c>
      <c r="I919" s="1" t="n">
        <v>80</v>
      </c>
    </row>
    <row r="920" customFormat="false" ht="15.75" hidden="false" customHeight="true" outlineLevel="0" collapsed="false">
      <c r="A920" s="1" t="s">
        <v>1006</v>
      </c>
      <c r="B920" s="1" t="s">
        <v>432</v>
      </c>
      <c r="C920" s="1" t="s">
        <v>83</v>
      </c>
      <c r="D920" s="1" t="s">
        <v>440</v>
      </c>
      <c r="E920" s="1" t="n">
        <v>676</v>
      </c>
      <c r="F920" s="1" t="n">
        <v>698</v>
      </c>
      <c r="G920" s="1" t="n">
        <v>98.2</v>
      </c>
      <c r="H920" s="1" t="n">
        <v>98.5</v>
      </c>
      <c r="I920" s="1" t="n">
        <v>800</v>
      </c>
    </row>
    <row r="921" customFormat="false" ht="15.75" hidden="false" customHeight="true" outlineLevel="0" collapsed="false">
      <c r="A921" s="1" t="s">
        <v>1007</v>
      </c>
      <c r="B921" s="1" t="s">
        <v>52</v>
      </c>
      <c r="C921" s="1" t="s">
        <v>13</v>
      </c>
      <c r="D921" s="1" t="s">
        <v>14</v>
      </c>
      <c r="E921" s="1" t="n">
        <v>35782</v>
      </c>
      <c r="F921" s="1" t="n">
        <v>35788</v>
      </c>
      <c r="G921" s="1" t="n">
        <v>0.12</v>
      </c>
      <c r="H921" s="1" t="n">
        <v>1436.01</v>
      </c>
      <c r="I921" s="1" t="n">
        <v>5200</v>
      </c>
    </row>
    <row r="922" customFormat="false" ht="15.75" hidden="false" customHeight="true" outlineLevel="0" collapsed="false">
      <c r="A922" s="1" t="s">
        <v>1008</v>
      </c>
      <c r="B922" s="1" t="s">
        <v>12</v>
      </c>
      <c r="C922" s="1" t="s">
        <v>13</v>
      </c>
      <c r="D922" s="1" t="s">
        <v>14</v>
      </c>
      <c r="E922" s="1" t="n">
        <v>549</v>
      </c>
      <c r="F922" s="1" t="n">
        <v>551</v>
      </c>
      <c r="G922" s="1" t="n">
        <v>53</v>
      </c>
      <c r="H922" s="1" t="n">
        <v>92.1</v>
      </c>
      <c r="I922" s="1" t="n">
        <v>227</v>
      </c>
    </row>
    <row r="923" customFormat="false" ht="15.75" hidden="false" customHeight="true" outlineLevel="0" collapsed="false">
      <c r="A923" s="1" t="s">
        <v>1009</v>
      </c>
      <c r="B923" s="1" t="s">
        <v>12</v>
      </c>
      <c r="C923" s="1" t="s">
        <v>13</v>
      </c>
      <c r="D923" s="1" t="s">
        <v>14</v>
      </c>
      <c r="E923" s="1" t="n">
        <v>577</v>
      </c>
      <c r="F923" s="1" t="n">
        <v>581</v>
      </c>
      <c r="G923" s="1" t="n">
        <v>70</v>
      </c>
      <c r="H923" s="1" t="n">
        <v>96.1</v>
      </c>
      <c r="I923" s="1" t="n">
        <v>290</v>
      </c>
    </row>
    <row r="924" customFormat="false" ht="15.75" hidden="false" customHeight="true" outlineLevel="0" collapsed="false">
      <c r="A924" s="1" t="s">
        <v>1010</v>
      </c>
      <c r="B924" s="1" t="s">
        <v>23</v>
      </c>
      <c r="C924" s="1" t="s">
        <v>13</v>
      </c>
      <c r="D924" s="1" t="s">
        <v>14</v>
      </c>
      <c r="E924" s="1" t="n">
        <v>1200</v>
      </c>
      <c r="F924" s="1" t="n">
        <v>1202</v>
      </c>
      <c r="G924" s="1" t="n">
        <v>87.4</v>
      </c>
      <c r="H924" s="1" t="n">
        <v>109.3</v>
      </c>
      <c r="I924" s="1" t="n">
        <v>148</v>
      </c>
    </row>
    <row r="925" customFormat="false" ht="15.75" hidden="false" customHeight="true" outlineLevel="0" collapsed="false">
      <c r="A925" s="1" t="s">
        <v>1011</v>
      </c>
      <c r="B925" s="1" t="s">
        <v>12</v>
      </c>
      <c r="C925" s="1" t="s">
        <v>13</v>
      </c>
      <c r="D925" s="1" t="s">
        <v>14</v>
      </c>
      <c r="E925" s="1" t="n">
        <v>348</v>
      </c>
      <c r="F925" s="1" t="n">
        <v>351</v>
      </c>
      <c r="G925" s="1" t="n">
        <v>53.2</v>
      </c>
      <c r="H925" s="1" t="n">
        <v>91.5</v>
      </c>
      <c r="I925" s="1" t="n">
        <v>260</v>
      </c>
    </row>
    <row r="926" customFormat="false" ht="15.75" hidden="false" customHeight="true" outlineLevel="0" collapsed="false">
      <c r="A926" s="1" t="s">
        <v>1012</v>
      </c>
      <c r="B926" s="1" t="s">
        <v>52</v>
      </c>
      <c r="C926" s="1" t="s">
        <v>37</v>
      </c>
      <c r="D926" s="1" t="s">
        <v>18</v>
      </c>
      <c r="E926" s="1" t="n">
        <v>757</v>
      </c>
      <c r="F926" s="1" t="n">
        <v>759</v>
      </c>
      <c r="G926" s="1" t="n">
        <v>98.4</v>
      </c>
      <c r="H926" s="1" t="n">
        <v>99.8</v>
      </c>
      <c r="I926" s="1" t="n">
        <v>1000</v>
      </c>
    </row>
    <row r="927" customFormat="false" ht="15.75" hidden="false" customHeight="true" outlineLevel="0" collapsed="false">
      <c r="A927" s="1" t="s">
        <v>1013</v>
      </c>
      <c r="B927" s="1" t="s">
        <v>12</v>
      </c>
      <c r="C927" s="1" t="s">
        <v>13</v>
      </c>
      <c r="D927" s="1" t="s">
        <v>18</v>
      </c>
      <c r="E927" s="1" t="n">
        <v>569</v>
      </c>
      <c r="F927" s="1" t="n">
        <v>584</v>
      </c>
      <c r="G927" s="1" t="n">
        <v>97.7</v>
      </c>
      <c r="H927" s="1" t="n">
        <v>96.2</v>
      </c>
      <c r="I927" s="1" t="n">
        <v>10</v>
      </c>
    </row>
    <row r="928" customFormat="false" ht="15.75" hidden="false" customHeight="true" outlineLevel="0" collapsed="false">
      <c r="A928" s="1" t="s">
        <v>1014</v>
      </c>
      <c r="B928" s="1" t="s">
        <v>112</v>
      </c>
      <c r="C928" s="1" t="s">
        <v>13</v>
      </c>
      <c r="D928" s="1" t="s">
        <v>18</v>
      </c>
      <c r="E928" s="1" t="n">
        <v>467</v>
      </c>
      <c r="F928" s="1" t="n">
        <v>477</v>
      </c>
      <c r="G928" s="1" t="n">
        <v>97.3</v>
      </c>
      <c r="H928" s="1" t="n">
        <v>94</v>
      </c>
      <c r="I928" s="1" t="n">
        <v>45</v>
      </c>
    </row>
    <row r="929" customFormat="false" ht="15.75" hidden="false" customHeight="true" outlineLevel="0" collapsed="false">
      <c r="A929" s="1" t="s">
        <v>1015</v>
      </c>
      <c r="B929" s="1" t="s">
        <v>1016</v>
      </c>
      <c r="C929" s="1" t="s">
        <v>37</v>
      </c>
      <c r="D929" s="1" t="s">
        <v>14</v>
      </c>
      <c r="E929" s="1" t="n">
        <v>35778</v>
      </c>
      <c r="F929" s="1" t="n">
        <v>35793</v>
      </c>
      <c r="G929" s="1" t="n">
        <v>0</v>
      </c>
      <c r="H929" s="1" t="n">
        <v>1436.06</v>
      </c>
      <c r="I929" s="1" t="n">
        <v>3500</v>
      </c>
    </row>
    <row r="930" customFormat="false" ht="15.75" hidden="false" customHeight="true" outlineLevel="0" collapsed="false">
      <c r="A930" s="1" t="s">
        <v>1017</v>
      </c>
      <c r="B930" s="1" t="s">
        <v>12</v>
      </c>
      <c r="C930" s="1" t="s">
        <v>13</v>
      </c>
      <c r="D930" s="1" t="s">
        <v>14</v>
      </c>
      <c r="E930" s="1" t="n">
        <v>549</v>
      </c>
      <c r="F930" s="1" t="n">
        <v>551</v>
      </c>
      <c r="G930" s="1" t="n">
        <v>53</v>
      </c>
      <c r="H930" s="1" t="n">
        <v>92.1</v>
      </c>
      <c r="I930" s="1" t="n">
        <v>227</v>
      </c>
    </row>
    <row r="931" customFormat="false" ht="15.75" hidden="false" customHeight="true" outlineLevel="0" collapsed="false">
      <c r="A931" s="1" t="s">
        <v>1018</v>
      </c>
      <c r="B931" s="1" t="s">
        <v>271</v>
      </c>
      <c r="C931" s="1" t="s">
        <v>13</v>
      </c>
      <c r="D931" s="1" t="s">
        <v>14</v>
      </c>
      <c r="E931" s="1" t="n">
        <v>35772</v>
      </c>
      <c r="F931" s="1" t="n">
        <v>35802</v>
      </c>
      <c r="G931" s="1" t="n">
        <v>0.05</v>
      </c>
      <c r="H931" s="1" t="n">
        <v>1436.11</v>
      </c>
      <c r="I931" s="1" t="n">
        <v>5800</v>
      </c>
    </row>
    <row r="932" customFormat="false" ht="15.75" hidden="false" customHeight="true" outlineLevel="0" collapsed="false">
      <c r="A932" s="1" t="s">
        <v>1019</v>
      </c>
      <c r="B932" s="1" t="s">
        <v>12</v>
      </c>
      <c r="C932" s="1" t="s">
        <v>13</v>
      </c>
      <c r="D932" s="1" t="s">
        <v>14</v>
      </c>
      <c r="E932" s="1" t="n">
        <v>384</v>
      </c>
      <c r="F932" s="1" t="n">
        <v>396</v>
      </c>
      <c r="G932" s="1" t="n">
        <v>53.1</v>
      </c>
      <c r="H932" s="1" t="n">
        <v>95.6</v>
      </c>
      <c r="I932" s="1" t="n">
        <v>227</v>
      </c>
    </row>
    <row r="933" customFormat="false" ht="15.75" hidden="false" customHeight="true" outlineLevel="0" collapsed="false">
      <c r="A933" s="1" t="s">
        <v>1020</v>
      </c>
      <c r="B933" s="1" t="s">
        <v>12</v>
      </c>
      <c r="C933" s="1" t="s">
        <v>13</v>
      </c>
      <c r="D933" s="1" t="s">
        <v>14</v>
      </c>
      <c r="E933" s="1" t="n">
        <v>538</v>
      </c>
      <c r="F933" s="1" t="n">
        <v>541</v>
      </c>
      <c r="G933" s="1" t="n">
        <v>53.2</v>
      </c>
      <c r="H933" s="1" t="n">
        <v>95.4</v>
      </c>
      <c r="I933" s="1" t="n">
        <v>260</v>
      </c>
    </row>
    <row r="934" customFormat="false" ht="15.75" hidden="false" customHeight="true" outlineLevel="0" collapsed="false">
      <c r="A934" s="1" t="s">
        <v>1021</v>
      </c>
      <c r="B934" s="1" t="s">
        <v>12</v>
      </c>
      <c r="C934" s="1" t="s">
        <v>13</v>
      </c>
      <c r="D934" s="1" t="s">
        <v>14</v>
      </c>
      <c r="E934" s="1" t="n">
        <v>378</v>
      </c>
      <c r="F934" s="1" t="n">
        <v>381</v>
      </c>
      <c r="G934" s="1" t="n">
        <v>53</v>
      </c>
      <c r="H934" s="1" t="n">
        <v>96.5</v>
      </c>
      <c r="I934" s="1" t="n">
        <v>227</v>
      </c>
    </row>
    <row r="935" customFormat="false" ht="15.75" hidden="false" customHeight="true" outlineLevel="0" collapsed="false">
      <c r="A935" s="1" t="s">
        <v>1022</v>
      </c>
      <c r="B935" s="1" t="s">
        <v>23</v>
      </c>
      <c r="C935" s="1" t="s">
        <v>37</v>
      </c>
      <c r="D935" s="1" t="s">
        <v>18</v>
      </c>
      <c r="E935" s="1" t="n">
        <v>660</v>
      </c>
      <c r="F935" s="1" t="n">
        <v>662</v>
      </c>
      <c r="G935" s="1" t="n">
        <v>98</v>
      </c>
      <c r="H935" s="1" t="n">
        <v>98</v>
      </c>
      <c r="I935" s="1" t="n">
        <v>96.5</v>
      </c>
    </row>
    <row r="936" customFormat="false" ht="15.75" hidden="false" customHeight="true" outlineLevel="0" collapsed="false">
      <c r="A936" s="1" t="s">
        <v>1023</v>
      </c>
      <c r="B936" s="1" t="s">
        <v>12</v>
      </c>
      <c r="C936" s="1" t="s">
        <v>13</v>
      </c>
      <c r="D936" s="1" t="s">
        <v>18</v>
      </c>
      <c r="E936" s="1" t="n">
        <v>518</v>
      </c>
      <c r="F936" s="1" t="n">
        <v>535</v>
      </c>
      <c r="G936" s="1" t="n">
        <v>97.5</v>
      </c>
      <c r="H936" s="1" t="n">
        <v>94.7</v>
      </c>
      <c r="I936" s="1" t="n">
        <v>6</v>
      </c>
    </row>
    <row r="937" customFormat="false" ht="15.75" hidden="false" customHeight="true" outlineLevel="0" collapsed="false">
      <c r="A937" s="1" t="s">
        <v>1024</v>
      </c>
      <c r="B937" s="1" t="s">
        <v>23</v>
      </c>
      <c r="C937" s="1" t="s">
        <v>13</v>
      </c>
      <c r="D937" s="1" t="s">
        <v>14</v>
      </c>
      <c r="E937" s="1" t="n">
        <v>1200</v>
      </c>
      <c r="F937" s="1" t="n">
        <v>1202</v>
      </c>
      <c r="G937" s="1" t="n">
        <v>87.4</v>
      </c>
      <c r="H937" s="1" t="n">
        <v>109.6</v>
      </c>
      <c r="I937" s="1" t="n">
        <v>148</v>
      </c>
    </row>
    <row r="938" customFormat="false" ht="15.75" hidden="false" customHeight="true" outlineLevel="0" collapsed="false">
      <c r="A938" s="1" t="s">
        <v>1025</v>
      </c>
      <c r="B938" s="1" t="s">
        <v>23</v>
      </c>
      <c r="C938" s="1" t="s">
        <v>13</v>
      </c>
      <c r="D938" s="1" t="s">
        <v>14</v>
      </c>
      <c r="E938" s="1" t="n">
        <v>1200</v>
      </c>
      <c r="F938" s="1" t="n">
        <v>1202</v>
      </c>
      <c r="G938" s="1" t="n">
        <v>87.9</v>
      </c>
      <c r="H938" s="1" t="n">
        <v>109.3</v>
      </c>
      <c r="I938" s="1" t="n">
        <v>148</v>
      </c>
    </row>
    <row r="939" customFormat="false" ht="15.75" hidden="false" customHeight="true" outlineLevel="0" collapsed="false">
      <c r="A939" s="1" t="s">
        <v>1026</v>
      </c>
      <c r="B939" s="1" t="s">
        <v>12</v>
      </c>
      <c r="C939" s="1" t="s">
        <v>13</v>
      </c>
      <c r="D939" s="1" t="s">
        <v>14</v>
      </c>
      <c r="E939" s="1" t="n">
        <v>549</v>
      </c>
      <c r="F939" s="1" t="n">
        <v>550</v>
      </c>
      <c r="G939" s="1" t="n">
        <v>53</v>
      </c>
      <c r="H939" s="1" t="n">
        <v>95.6</v>
      </c>
      <c r="I939" s="1" t="n">
        <v>227</v>
      </c>
    </row>
    <row r="940" customFormat="false" ht="15.75" hidden="false" customHeight="true" outlineLevel="0" collapsed="false">
      <c r="A940" s="1" t="s">
        <v>1027</v>
      </c>
      <c r="B940" s="1" t="s">
        <v>12</v>
      </c>
      <c r="C940" s="1" t="s">
        <v>13</v>
      </c>
      <c r="D940" s="1" t="s">
        <v>58</v>
      </c>
      <c r="E940" s="1" t="n">
        <v>515</v>
      </c>
      <c r="F940" s="1" t="n">
        <v>543</v>
      </c>
      <c r="G940" s="1" t="n">
        <v>97.5</v>
      </c>
      <c r="H940" s="1" t="n">
        <v>95.2</v>
      </c>
      <c r="I940" s="1" t="n">
        <v>20</v>
      </c>
    </row>
    <row r="941" customFormat="false" ht="15.75" hidden="false" customHeight="true" outlineLevel="0" collapsed="false">
      <c r="A941" s="1" t="s">
        <v>1028</v>
      </c>
      <c r="B941" s="1" t="s">
        <v>12</v>
      </c>
      <c r="C941" s="1" t="s">
        <v>97</v>
      </c>
      <c r="D941" s="1" t="s">
        <v>58</v>
      </c>
      <c r="E941" s="1" t="n">
        <v>415</v>
      </c>
      <c r="F941" s="1" t="n">
        <v>418</v>
      </c>
      <c r="G941" s="1" t="n">
        <v>51.6</v>
      </c>
      <c r="H941" s="1" t="n">
        <v>92.9</v>
      </c>
      <c r="I941" s="1" t="n">
        <v>9</v>
      </c>
    </row>
    <row r="942" customFormat="false" ht="15.75" hidden="false" customHeight="true" outlineLevel="0" collapsed="false">
      <c r="A942" s="1" t="s">
        <v>1029</v>
      </c>
      <c r="B942" s="1" t="s">
        <v>12</v>
      </c>
      <c r="C942" s="1" t="s">
        <v>13</v>
      </c>
      <c r="D942" s="1" t="s">
        <v>14</v>
      </c>
      <c r="E942" s="1" t="n">
        <v>323</v>
      </c>
      <c r="F942" s="1" t="n">
        <v>342</v>
      </c>
      <c r="G942" s="1" t="n">
        <v>43</v>
      </c>
      <c r="H942" s="1" t="n">
        <v>95.8</v>
      </c>
      <c r="I942" s="1" t="n">
        <v>290</v>
      </c>
    </row>
    <row r="943" customFormat="false" ht="15.75" hidden="false" customHeight="true" outlineLevel="0" collapsed="false">
      <c r="A943" s="1" t="s">
        <v>1030</v>
      </c>
      <c r="B943" s="1" t="s">
        <v>36</v>
      </c>
      <c r="C943" s="1" t="s">
        <v>37</v>
      </c>
      <c r="D943" s="1" t="s">
        <v>18</v>
      </c>
      <c r="E943" s="1" t="n">
        <v>521</v>
      </c>
      <c r="F943" s="1" t="n">
        <v>535</v>
      </c>
      <c r="G943" s="1" t="n">
        <v>97.5</v>
      </c>
      <c r="H943" s="1" t="n">
        <v>95.5</v>
      </c>
      <c r="I943" s="1" t="n">
        <v>1710</v>
      </c>
    </row>
    <row r="944" customFormat="false" ht="15.75" hidden="false" customHeight="true" outlineLevel="0" collapsed="false">
      <c r="A944" s="1" t="s">
        <v>1031</v>
      </c>
      <c r="B944" s="1" t="s">
        <v>12</v>
      </c>
      <c r="C944" s="1" t="s">
        <v>13</v>
      </c>
      <c r="D944" s="1" t="s">
        <v>14</v>
      </c>
      <c r="E944" s="1" t="n">
        <v>516</v>
      </c>
      <c r="F944" s="1" t="n">
        <v>536</v>
      </c>
      <c r="G944" s="1" t="n">
        <v>97.5</v>
      </c>
      <c r="H944" s="1" t="n">
        <v>94.3</v>
      </c>
      <c r="I944" s="1" t="n">
        <v>2</v>
      </c>
    </row>
    <row r="945" customFormat="false" ht="15.75" hidden="false" customHeight="true" outlineLevel="0" collapsed="false">
      <c r="A945" s="1" t="s">
        <v>1032</v>
      </c>
      <c r="B945" s="1" t="s">
        <v>12</v>
      </c>
      <c r="C945" s="1" t="s">
        <v>13</v>
      </c>
      <c r="D945" s="1" t="s">
        <v>14</v>
      </c>
      <c r="E945" s="1" t="n">
        <v>538</v>
      </c>
      <c r="F945" s="1" t="n">
        <v>541</v>
      </c>
      <c r="G945" s="1" t="n">
        <v>53.2</v>
      </c>
      <c r="H945" s="1" t="n">
        <v>95.4</v>
      </c>
      <c r="I945" s="1" t="n">
        <v>260</v>
      </c>
    </row>
    <row r="946" customFormat="false" ht="15.75" hidden="false" customHeight="true" outlineLevel="0" collapsed="false">
      <c r="A946" s="1" t="s">
        <v>1033</v>
      </c>
      <c r="B946" s="1" t="s">
        <v>12</v>
      </c>
      <c r="C946" s="1" t="s">
        <v>13</v>
      </c>
      <c r="D946" s="1" t="s">
        <v>14</v>
      </c>
      <c r="E946" s="1" t="n">
        <v>549</v>
      </c>
      <c r="F946" s="1" t="n">
        <v>551</v>
      </c>
      <c r="G946" s="1" t="n">
        <v>53.1</v>
      </c>
      <c r="H946" s="1" t="n">
        <v>95.6</v>
      </c>
      <c r="I946" s="1" t="n">
        <v>227</v>
      </c>
    </row>
    <row r="947" customFormat="false" ht="15.75" hidden="false" customHeight="true" outlineLevel="0" collapsed="false">
      <c r="A947" s="1" t="s">
        <v>1034</v>
      </c>
      <c r="B947" s="1" t="s">
        <v>12</v>
      </c>
      <c r="C947" s="1" t="s">
        <v>13</v>
      </c>
      <c r="D947" s="1" t="s">
        <v>14</v>
      </c>
      <c r="E947" s="1" t="n">
        <v>548</v>
      </c>
      <c r="F947" s="1" t="n">
        <v>561</v>
      </c>
      <c r="G947" s="1" t="n">
        <v>53</v>
      </c>
      <c r="H947" s="1" t="n">
        <v>95.6</v>
      </c>
      <c r="I947" s="1" t="n">
        <v>260</v>
      </c>
    </row>
    <row r="948" customFormat="false" ht="15.75" hidden="false" customHeight="true" outlineLevel="0" collapsed="false">
      <c r="A948" s="1" t="s">
        <v>1035</v>
      </c>
      <c r="B948" s="1" t="s">
        <v>71</v>
      </c>
      <c r="C948" s="1" t="s">
        <v>37</v>
      </c>
      <c r="D948" s="1" t="s">
        <v>18</v>
      </c>
      <c r="E948" s="1" t="n">
        <v>509</v>
      </c>
      <c r="F948" s="1" t="n">
        <v>514</v>
      </c>
      <c r="G948" s="1" t="n">
        <v>97.5</v>
      </c>
      <c r="H948" s="1" t="n">
        <v>94.85</v>
      </c>
      <c r="I948" s="1" t="n">
        <v>1600</v>
      </c>
    </row>
    <row r="949" customFormat="false" ht="15.75" hidden="false" customHeight="true" outlineLevel="0" collapsed="false">
      <c r="A949" s="1" t="s">
        <v>1036</v>
      </c>
      <c r="B949" s="1" t="s">
        <v>23</v>
      </c>
      <c r="C949" s="1" t="s">
        <v>13</v>
      </c>
      <c r="D949" s="1" t="s">
        <v>18</v>
      </c>
      <c r="E949" s="1" t="n">
        <v>636</v>
      </c>
      <c r="F949" s="1" t="n">
        <v>661</v>
      </c>
      <c r="G949" s="1" t="n">
        <v>98</v>
      </c>
      <c r="H949" s="1" t="n">
        <v>97.69</v>
      </c>
      <c r="I949" s="1" t="n">
        <v>447</v>
      </c>
    </row>
    <row r="950" customFormat="false" ht="15.75" hidden="false" customHeight="true" outlineLevel="0" collapsed="false">
      <c r="A950" s="1" t="s">
        <v>1037</v>
      </c>
      <c r="B950" s="1" t="s">
        <v>12</v>
      </c>
      <c r="C950" s="1" t="s">
        <v>13</v>
      </c>
      <c r="D950" s="1" t="s">
        <v>14</v>
      </c>
      <c r="E950" s="1" t="n">
        <v>548</v>
      </c>
      <c r="F950" s="1" t="n">
        <v>561</v>
      </c>
      <c r="G950" s="1" t="n">
        <v>53</v>
      </c>
      <c r="H950" s="1" t="n">
        <v>95.6</v>
      </c>
      <c r="I950" s="1" t="n">
        <v>260</v>
      </c>
    </row>
    <row r="951" customFormat="false" ht="15.75" hidden="false" customHeight="true" outlineLevel="0" collapsed="false">
      <c r="A951" s="1" t="s">
        <v>1038</v>
      </c>
      <c r="B951" s="1" t="s">
        <v>12</v>
      </c>
      <c r="C951" s="1" t="s">
        <v>13</v>
      </c>
      <c r="D951" s="1" t="s">
        <v>14</v>
      </c>
      <c r="E951" s="1" t="n">
        <v>539</v>
      </c>
      <c r="F951" s="1" t="n">
        <v>541</v>
      </c>
      <c r="G951" s="1" t="n">
        <v>53</v>
      </c>
      <c r="H951" s="1" t="n">
        <v>95.4</v>
      </c>
      <c r="I951" s="1" t="n">
        <v>260</v>
      </c>
    </row>
    <row r="952" customFormat="false" ht="15.75" hidden="false" customHeight="true" outlineLevel="0" collapsed="false">
      <c r="A952" s="1" t="s">
        <v>1039</v>
      </c>
      <c r="B952" s="1" t="s">
        <v>12</v>
      </c>
      <c r="C952" s="1" t="s">
        <v>13</v>
      </c>
      <c r="D952" s="1" t="s">
        <v>14</v>
      </c>
      <c r="E952" s="1" t="n">
        <v>348</v>
      </c>
      <c r="F952" s="1" t="n">
        <v>351</v>
      </c>
      <c r="G952" s="1" t="n">
        <v>53.2</v>
      </c>
      <c r="H952" s="1" t="n">
        <v>91.5</v>
      </c>
      <c r="I952" s="1" t="n">
        <v>260</v>
      </c>
    </row>
    <row r="953" customFormat="false" ht="15.75" hidden="false" customHeight="true" outlineLevel="0" collapsed="false">
      <c r="A953" s="1" t="s">
        <v>1040</v>
      </c>
      <c r="B953" s="1" t="s">
        <v>12</v>
      </c>
      <c r="C953" s="1" t="s">
        <v>13</v>
      </c>
      <c r="D953" s="1" t="s">
        <v>18</v>
      </c>
      <c r="E953" s="1" t="n">
        <v>519</v>
      </c>
      <c r="F953" s="1" t="n">
        <v>535</v>
      </c>
      <c r="G953" s="1" t="n">
        <v>97.5</v>
      </c>
      <c r="H953" s="1" t="n">
        <v>94.7</v>
      </c>
      <c r="I953" s="1" t="n">
        <v>6</v>
      </c>
    </row>
    <row r="954" customFormat="false" ht="15.75" hidden="false" customHeight="true" outlineLevel="0" collapsed="false">
      <c r="A954" s="1" t="s">
        <v>1041</v>
      </c>
      <c r="B954" s="1" t="s">
        <v>12</v>
      </c>
      <c r="C954" s="1" t="s">
        <v>13</v>
      </c>
      <c r="D954" s="1" t="s">
        <v>14</v>
      </c>
      <c r="E954" s="1" t="n">
        <v>549</v>
      </c>
      <c r="F954" s="1" t="n">
        <v>551</v>
      </c>
      <c r="G954" s="1" t="n">
        <v>53</v>
      </c>
      <c r="H954" s="1" t="n">
        <v>90.5</v>
      </c>
      <c r="I954" s="1" t="n">
        <v>227</v>
      </c>
    </row>
    <row r="955" customFormat="false" ht="15.75" hidden="false" customHeight="true" outlineLevel="0" collapsed="false">
      <c r="A955" s="1" t="s">
        <v>1042</v>
      </c>
      <c r="B955" s="1" t="s">
        <v>52</v>
      </c>
      <c r="C955" s="1" t="s">
        <v>97</v>
      </c>
      <c r="D955" s="1" t="s">
        <v>58</v>
      </c>
      <c r="E955" s="1" t="n">
        <v>485</v>
      </c>
      <c r="F955" s="1" t="n">
        <v>501</v>
      </c>
      <c r="G955" s="1" t="n">
        <v>97.39</v>
      </c>
      <c r="H955" s="1" t="n">
        <v>95.24</v>
      </c>
      <c r="I955" s="1" t="n">
        <v>20</v>
      </c>
    </row>
    <row r="956" customFormat="false" ht="15.75" hidden="false" customHeight="true" outlineLevel="0" collapsed="false">
      <c r="A956" s="1" t="s">
        <v>1043</v>
      </c>
      <c r="B956" s="1" t="s">
        <v>12</v>
      </c>
      <c r="C956" s="1" t="s">
        <v>13</v>
      </c>
      <c r="D956" s="1" t="s">
        <v>14</v>
      </c>
      <c r="E956" s="1" t="n">
        <v>538</v>
      </c>
      <c r="F956" s="1" t="n">
        <v>541</v>
      </c>
      <c r="G956" s="1" t="n">
        <v>53.2</v>
      </c>
      <c r="H956" s="1" t="n">
        <v>95.4</v>
      </c>
      <c r="I956" s="1" t="n">
        <v>260</v>
      </c>
    </row>
    <row r="957" customFormat="false" ht="15.75" hidden="false" customHeight="true" outlineLevel="0" collapsed="false">
      <c r="A957" s="1" t="s">
        <v>1044</v>
      </c>
      <c r="B957" s="1" t="s">
        <v>20</v>
      </c>
      <c r="C957" s="1" t="s">
        <v>13</v>
      </c>
      <c r="D957" s="1" t="s">
        <v>14</v>
      </c>
      <c r="E957" s="1" t="n">
        <v>35778</v>
      </c>
      <c r="F957" s="1" t="n">
        <v>35793</v>
      </c>
      <c r="G957" s="1" t="n">
        <v>0.03</v>
      </c>
      <c r="H957" s="1" t="n">
        <v>1436.06</v>
      </c>
      <c r="I957" s="1" t="n">
        <v>5400</v>
      </c>
    </row>
    <row r="958" customFormat="false" ht="15.75" hidden="false" customHeight="true" outlineLevel="0" collapsed="false">
      <c r="A958" s="1" t="s">
        <v>1045</v>
      </c>
      <c r="B958" s="1" t="s">
        <v>12</v>
      </c>
      <c r="C958" s="1" t="s">
        <v>13</v>
      </c>
      <c r="D958" s="1" t="s">
        <v>14</v>
      </c>
      <c r="E958" s="1" t="n">
        <v>260</v>
      </c>
      <c r="F958" s="1" t="n">
        <v>280</v>
      </c>
      <c r="G958" s="1" t="n">
        <v>53</v>
      </c>
      <c r="H958" s="1" t="n">
        <v>95.6</v>
      </c>
      <c r="I958" s="1" t="n">
        <v>260</v>
      </c>
    </row>
    <row r="959" customFormat="false" ht="15.75" hidden="false" customHeight="true" outlineLevel="0" collapsed="false">
      <c r="A959" s="1" t="s">
        <v>1046</v>
      </c>
      <c r="B959" s="1" t="s">
        <v>29</v>
      </c>
      <c r="C959" s="1" t="s">
        <v>13</v>
      </c>
      <c r="D959" s="1" t="s">
        <v>14</v>
      </c>
      <c r="E959" s="1" t="n">
        <v>35768</v>
      </c>
      <c r="F959" s="1" t="n">
        <v>35806</v>
      </c>
      <c r="G959" s="1" t="n">
        <v>0.08</v>
      </c>
      <c r="H959" s="1" t="n">
        <v>1436.11</v>
      </c>
      <c r="I959" s="1" t="n">
        <v>5471</v>
      </c>
    </row>
    <row r="960" customFormat="false" ht="15.75" hidden="false" customHeight="true" outlineLevel="0" collapsed="false">
      <c r="A960" s="1" t="s">
        <v>1047</v>
      </c>
      <c r="B960" s="1" t="s">
        <v>12</v>
      </c>
      <c r="C960" s="1" t="s">
        <v>13</v>
      </c>
      <c r="D960" s="1" t="s">
        <v>14</v>
      </c>
      <c r="E960" s="1" t="n">
        <v>548</v>
      </c>
      <c r="F960" s="1" t="n">
        <v>561</v>
      </c>
      <c r="G960" s="1" t="n">
        <v>53</v>
      </c>
      <c r="H960" s="1" t="n">
        <v>95.6</v>
      </c>
      <c r="I960" s="1" t="n">
        <v>260</v>
      </c>
    </row>
    <row r="961" customFormat="false" ht="15.75" hidden="false" customHeight="true" outlineLevel="0" collapsed="false">
      <c r="A961" s="1" t="s">
        <v>1048</v>
      </c>
      <c r="B961" s="1" t="s">
        <v>52</v>
      </c>
      <c r="C961" s="1" t="s">
        <v>13</v>
      </c>
      <c r="D961" s="1" t="s">
        <v>18</v>
      </c>
      <c r="E961" s="1" t="n">
        <v>526</v>
      </c>
      <c r="F961" s="1" t="n">
        <v>548</v>
      </c>
      <c r="G961" s="1" t="n">
        <v>97.5</v>
      </c>
      <c r="H961" s="1" t="n">
        <v>94.5</v>
      </c>
      <c r="I961" s="1" t="n">
        <v>43</v>
      </c>
    </row>
    <row r="962" customFormat="false" ht="15.75" hidden="false" customHeight="true" outlineLevel="0" collapsed="false">
      <c r="A962" s="1" t="s">
        <v>1049</v>
      </c>
      <c r="B962" s="1" t="s">
        <v>12</v>
      </c>
      <c r="C962" s="1" t="s">
        <v>13</v>
      </c>
      <c r="D962" s="1" t="s">
        <v>14</v>
      </c>
      <c r="E962" s="1" t="n">
        <v>562</v>
      </c>
      <c r="F962" s="1" t="n">
        <v>564</v>
      </c>
      <c r="G962" s="1" t="n">
        <v>97.6</v>
      </c>
      <c r="H962" s="1" t="n">
        <v>95.9</v>
      </c>
      <c r="I962" s="1" t="n">
        <v>260</v>
      </c>
    </row>
    <row r="963" customFormat="false" ht="15.75" hidden="false" customHeight="true" outlineLevel="0" collapsed="false">
      <c r="A963" s="1" t="s">
        <v>1050</v>
      </c>
      <c r="B963" s="1" t="s">
        <v>1051</v>
      </c>
      <c r="C963" s="1" t="s">
        <v>37</v>
      </c>
      <c r="D963" s="1" t="s">
        <v>18</v>
      </c>
      <c r="E963" s="1" t="n">
        <v>719</v>
      </c>
      <c r="F963" s="1" t="n">
        <v>724</v>
      </c>
      <c r="G963" s="1" t="n">
        <v>98.3</v>
      </c>
      <c r="H963" s="1" t="n">
        <v>99.2</v>
      </c>
      <c r="I963" s="1" t="n">
        <v>264</v>
      </c>
    </row>
    <row r="964" customFormat="false" ht="15.75" hidden="false" customHeight="true" outlineLevel="0" collapsed="false">
      <c r="A964" s="1" t="s">
        <v>1052</v>
      </c>
      <c r="B964" s="1" t="s">
        <v>12</v>
      </c>
      <c r="C964" s="1" t="s">
        <v>13</v>
      </c>
      <c r="D964" s="1" t="s">
        <v>14</v>
      </c>
      <c r="E964" s="1" t="n">
        <v>539</v>
      </c>
      <c r="F964" s="1" t="n">
        <v>541</v>
      </c>
      <c r="G964" s="1" t="n">
        <v>53.2</v>
      </c>
      <c r="H964" s="1" t="n">
        <v>95.4</v>
      </c>
      <c r="I964" s="1" t="n">
        <v>260</v>
      </c>
    </row>
    <row r="965" customFormat="false" ht="15.75" hidden="false" customHeight="true" outlineLevel="0" collapsed="false">
      <c r="A965" s="1" t="s">
        <v>1053</v>
      </c>
      <c r="B965" s="1" t="s">
        <v>12</v>
      </c>
      <c r="C965" s="1" t="s">
        <v>13</v>
      </c>
      <c r="D965" s="1" t="s">
        <v>14</v>
      </c>
      <c r="E965" s="1" t="n">
        <v>548</v>
      </c>
      <c r="F965" s="1" t="n">
        <v>561</v>
      </c>
      <c r="G965" s="1" t="n">
        <v>53</v>
      </c>
      <c r="H965" s="1" t="n">
        <v>95.6</v>
      </c>
      <c r="I965" s="1" t="n">
        <v>260</v>
      </c>
    </row>
    <row r="966" customFormat="false" ht="15.75" hidden="false" customHeight="true" outlineLevel="0" collapsed="false">
      <c r="A966" s="1" t="s">
        <v>1054</v>
      </c>
      <c r="B966" s="1" t="s">
        <v>12</v>
      </c>
      <c r="C966" s="1" t="s">
        <v>13</v>
      </c>
      <c r="D966" s="1" t="s">
        <v>18</v>
      </c>
      <c r="E966" s="1" t="n">
        <v>517</v>
      </c>
      <c r="F966" s="1" t="n">
        <v>537</v>
      </c>
      <c r="G966" s="1" t="n">
        <v>97.5</v>
      </c>
      <c r="H966" s="1" t="n">
        <v>94.7</v>
      </c>
      <c r="I966" s="1" t="n">
        <v>6</v>
      </c>
    </row>
    <row r="967" customFormat="false" ht="15.75" hidden="false" customHeight="true" outlineLevel="0" collapsed="false">
      <c r="A967" s="1" t="s">
        <v>1055</v>
      </c>
      <c r="B967" s="1" t="s">
        <v>52</v>
      </c>
      <c r="C967" s="1" t="s">
        <v>13</v>
      </c>
      <c r="D967" s="1" t="s">
        <v>58</v>
      </c>
      <c r="E967" s="1" t="n">
        <v>494</v>
      </c>
      <c r="F967" s="1" t="n">
        <v>510</v>
      </c>
      <c r="G967" s="1" t="n">
        <v>97.3</v>
      </c>
      <c r="H967" s="1" t="n">
        <v>95.1</v>
      </c>
      <c r="I967" s="1" t="n">
        <v>40</v>
      </c>
    </row>
    <row r="968" customFormat="false" ht="15.75" hidden="false" customHeight="true" outlineLevel="0" collapsed="false">
      <c r="A968" s="1" t="s">
        <v>1056</v>
      </c>
      <c r="B968" s="1" t="s">
        <v>52</v>
      </c>
      <c r="C968" s="1" t="s">
        <v>13</v>
      </c>
      <c r="D968" s="1" t="s">
        <v>18</v>
      </c>
      <c r="E968" s="1" t="n">
        <v>485</v>
      </c>
      <c r="F968" s="1" t="n">
        <v>502</v>
      </c>
      <c r="G968" s="1" t="n">
        <v>97.47</v>
      </c>
      <c r="H968" s="1" t="n">
        <v>94.5</v>
      </c>
      <c r="I968" s="1" t="n">
        <v>540</v>
      </c>
    </row>
    <row r="969" customFormat="false" ht="15.75" hidden="false" customHeight="true" outlineLevel="0" collapsed="false">
      <c r="A969" s="1" t="s">
        <v>1057</v>
      </c>
      <c r="B969" s="1" t="s">
        <v>36</v>
      </c>
      <c r="C969" s="1" t="s">
        <v>37</v>
      </c>
      <c r="D969" s="1" t="s">
        <v>38</v>
      </c>
      <c r="E969" s="1" t="n">
        <v>35695</v>
      </c>
      <c r="F969" s="1" t="n">
        <v>35874</v>
      </c>
      <c r="G969" s="1" t="n">
        <v>28.09</v>
      </c>
      <c r="H969" s="1" t="n">
        <v>1436.01</v>
      </c>
      <c r="I969" s="1" t="n">
        <v>1425</v>
      </c>
    </row>
    <row r="970" customFormat="false" ht="15.75" hidden="false" customHeight="true" outlineLevel="0" collapsed="false">
      <c r="A970" s="1" t="s">
        <v>1058</v>
      </c>
      <c r="B970" s="1" t="s">
        <v>12</v>
      </c>
      <c r="C970" s="1" t="s">
        <v>13</v>
      </c>
      <c r="D970" s="1" t="s">
        <v>14</v>
      </c>
      <c r="E970" s="1" t="n">
        <v>570</v>
      </c>
      <c r="F970" s="1" t="n">
        <v>575</v>
      </c>
      <c r="G970" s="1" t="n">
        <v>70</v>
      </c>
      <c r="H970" s="1" t="n">
        <v>96.1</v>
      </c>
      <c r="I970" s="1" t="n">
        <v>260</v>
      </c>
    </row>
    <row r="971" customFormat="false" ht="15.75" hidden="false" customHeight="true" outlineLevel="0" collapsed="false">
      <c r="A971" s="1" t="s">
        <v>1059</v>
      </c>
      <c r="B971" s="1" t="s">
        <v>12</v>
      </c>
      <c r="C971" s="1" t="s">
        <v>13</v>
      </c>
      <c r="D971" s="1" t="s">
        <v>14</v>
      </c>
      <c r="E971" s="1" t="n">
        <v>548</v>
      </c>
      <c r="F971" s="1" t="n">
        <v>551</v>
      </c>
      <c r="G971" s="1" t="n">
        <v>53</v>
      </c>
      <c r="H971" s="1" t="n">
        <v>95.6</v>
      </c>
      <c r="I971" s="1" t="n">
        <v>260</v>
      </c>
    </row>
    <row r="972" customFormat="false" ht="15.75" hidden="false" customHeight="true" outlineLevel="0" collapsed="false">
      <c r="A972" s="1" t="s">
        <v>1060</v>
      </c>
      <c r="B972" s="1" t="s">
        <v>12</v>
      </c>
      <c r="C972" s="1" t="s">
        <v>13</v>
      </c>
      <c r="D972" s="1" t="s">
        <v>14</v>
      </c>
      <c r="E972" s="1" t="n">
        <v>548</v>
      </c>
      <c r="F972" s="1" t="n">
        <v>561</v>
      </c>
      <c r="G972" s="1" t="n">
        <v>53</v>
      </c>
      <c r="H972" s="1" t="n">
        <v>95.6</v>
      </c>
      <c r="I972" s="1" t="n">
        <v>260</v>
      </c>
    </row>
    <row r="973" customFormat="false" ht="15.75" hidden="false" customHeight="true" outlineLevel="0" collapsed="false">
      <c r="A973" s="1" t="s">
        <v>1061</v>
      </c>
      <c r="B973" s="1" t="s">
        <v>23</v>
      </c>
      <c r="C973" s="1" t="s">
        <v>13</v>
      </c>
      <c r="D973" s="1" t="s">
        <v>14</v>
      </c>
      <c r="E973" s="1" t="n">
        <v>590</v>
      </c>
      <c r="F973" s="1" t="n">
        <v>600</v>
      </c>
      <c r="G973" s="1" t="n">
        <v>87.4</v>
      </c>
      <c r="H973" s="1" t="n">
        <v>96.75</v>
      </c>
      <c r="I973" s="1" t="n">
        <v>148</v>
      </c>
    </row>
    <row r="974" customFormat="false" ht="15.75" hidden="false" customHeight="true" outlineLevel="0" collapsed="false">
      <c r="A974" s="1" t="s">
        <v>1062</v>
      </c>
      <c r="B974" s="1" t="s">
        <v>63</v>
      </c>
      <c r="C974" s="1" t="s">
        <v>13</v>
      </c>
      <c r="D974" s="1" t="s">
        <v>14</v>
      </c>
      <c r="E974" s="1" t="n">
        <v>35789</v>
      </c>
      <c r="F974" s="1" t="n">
        <v>353798</v>
      </c>
      <c r="G974" s="1" t="n">
        <v>0</v>
      </c>
      <c r="H974" s="1" t="n">
        <v>1436.1</v>
      </c>
      <c r="I974" s="1" t="n">
        <v>4500</v>
      </c>
    </row>
    <row r="975" customFormat="false" ht="15.75" hidden="false" customHeight="true" outlineLevel="0" collapsed="false">
      <c r="A975" s="1" t="s">
        <v>1063</v>
      </c>
      <c r="B975" s="1" t="s">
        <v>12</v>
      </c>
      <c r="C975" s="1" t="s">
        <v>13</v>
      </c>
      <c r="D975" s="1" t="s">
        <v>14</v>
      </c>
      <c r="E975" s="1" t="n">
        <v>522</v>
      </c>
      <c r="F975" s="1" t="n">
        <v>533</v>
      </c>
      <c r="G975" s="1" t="n">
        <v>97.5</v>
      </c>
      <c r="H975" s="1" t="n">
        <v>94.3</v>
      </c>
      <c r="I975" s="1" t="n">
        <v>2</v>
      </c>
    </row>
    <row r="976" customFormat="false" ht="15.75" hidden="false" customHeight="true" outlineLevel="0" collapsed="false">
      <c r="A976" s="1" t="s">
        <v>1064</v>
      </c>
      <c r="B976" s="1" t="s">
        <v>12</v>
      </c>
      <c r="C976" s="1" t="s">
        <v>13</v>
      </c>
      <c r="D976" s="1" t="s">
        <v>14</v>
      </c>
      <c r="E976" s="1" t="n">
        <v>549</v>
      </c>
      <c r="F976" s="1" t="n">
        <v>551</v>
      </c>
      <c r="G976" s="1" t="n">
        <v>53.1</v>
      </c>
      <c r="H976" s="1" t="n">
        <v>95.6</v>
      </c>
      <c r="I976" s="1" t="n">
        <v>227</v>
      </c>
    </row>
    <row r="977" customFormat="false" ht="15.75" hidden="false" customHeight="true" outlineLevel="0" collapsed="false">
      <c r="A977" s="1" t="s">
        <v>1065</v>
      </c>
      <c r="B977" s="1" t="s">
        <v>12</v>
      </c>
      <c r="C977" s="1" t="s">
        <v>13</v>
      </c>
      <c r="D977" s="1" t="s">
        <v>14</v>
      </c>
      <c r="E977" s="1" t="n">
        <v>348</v>
      </c>
      <c r="F977" s="1" t="n">
        <v>351</v>
      </c>
      <c r="G977" s="1" t="n">
        <v>53.2</v>
      </c>
      <c r="H977" s="1" t="n">
        <v>91.5</v>
      </c>
      <c r="I977" s="1" t="n">
        <v>260</v>
      </c>
    </row>
    <row r="978" customFormat="false" ht="15.75" hidden="false" customHeight="true" outlineLevel="0" collapsed="false">
      <c r="A978" s="1" t="s">
        <v>1066</v>
      </c>
      <c r="B978" s="1" t="s">
        <v>71</v>
      </c>
      <c r="C978" s="1" t="s">
        <v>97</v>
      </c>
      <c r="D978" s="1" t="s">
        <v>18</v>
      </c>
      <c r="E978" s="1" t="n">
        <v>625</v>
      </c>
      <c r="F978" s="1" t="n">
        <v>630</v>
      </c>
      <c r="G978" s="1" t="n">
        <v>97.88</v>
      </c>
      <c r="H978" s="1" t="n">
        <v>97.27</v>
      </c>
      <c r="I978" s="1" t="n">
        <v>41</v>
      </c>
    </row>
    <row r="979" customFormat="false" ht="15.75" hidden="false" customHeight="true" outlineLevel="0" collapsed="false">
      <c r="A979" s="1" t="s">
        <v>1067</v>
      </c>
      <c r="B979" s="1" t="s">
        <v>52</v>
      </c>
      <c r="C979" s="1" t="s">
        <v>13</v>
      </c>
      <c r="D979" s="1" t="s">
        <v>14</v>
      </c>
      <c r="E979" s="1" t="n">
        <v>35785</v>
      </c>
      <c r="F979" s="1" t="n">
        <v>35885</v>
      </c>
      <c r="G979" s="1" t="n">
        <v>0.01</v>
      </c>
      <c r="H979" s="1" t="n">
        <v>1438.5</v>
      </c>
      <c r="I979" s="1" t="n">
        <v>5550</v>
      </c>
    </row>
    <row r="980" customFormat="false" ht="15.75" hidden="false" customHeight="true" outlineLevel="0" collapsed="false">
      <c r="A980" s="1" t="s">
        <v>1068</v>
      </c>
      <c r="B980" s="1" t="s">
        <v>12</v>
      </c>
      <c r="C980" s="1" t="s">
        <v>13</v>
      </c>
      <c r="D980" s="1" t="s">
        <v>14</v>
      </c>
      <c r="E980" s="1" t="n">
        <v>548</v>
      </c>
      <c r="F980" s="1" t="n">
        <v>561</v>
      </c>
      <c r="G980" s="1" t="n">
        <v>53</v>
      </c>
      <c r="H980" s="1" t="n">
        <v>95.6</v>
      </c>
      <c r="I980" s="1" t="n">
        <v>260</v>
      </c>
    </row>
    <row r="981" customFormat="false" ht="15.75" hidden="false" customHeight="true" outlineLevel="0" collapsed="false">
      <c r="A981" s="1" t="s">
        <v>1069</v>
      </c>
      <c r="B981" s="1" t="s">
        <v>1070</v>
      </c>
      <c r="C981" s="1" t="s">
        <v>13</v>
      </c>
      <c r="D981" s="1" t="s">
        <v>18</v>
      </c>
      <c r="E981" s="1" t="n">
        <v>502</v>
      </c>
      <c r="F981" s="1" t="n">
        <v>508</v>
      </c>
      <c r="G981" s="1" t="n">
        <v>45</v>
      </c>
      <c r="H981" s="1" t="n">
        <v>95.7</v>
      </c>
      <c r="I981" s="1" t="n">
        <v>5</v>
      </c>
    </row>
    <row r="982" customFormat="false" ht="15.75" hidden="false" customHeight="true" outlineLevel="0" collapsed="false">
      <c r="A982" s="1" t="s">
        <v>1071</v>
      </c>
      <c r="B982" s="1" t="s">
        <v>181</v>
      </c>
      <c r="C982" s="1" t="s">
        <v>37</v>
      </c>
      <c r="D982" s="1" t="s">
        <v>58</v>
      </c>
      <c r="E982" s="1" t="n">
        <v>519</v>
      </c>
      <c r="F982" s="1" t="n">
        <v>539</v>
      </c>
      <c r="G982" s="1" t="n">
        <v>97.5</v>
      </c>
      <c r="H982" s="1" t="n">
        <v>95.1</v>
      </c>
      <c r="I982" s="1" t="n">
        <v>5</v>
      </c>
    </row>
    <row r="983" customFormat="false" ht="15.75" hidden="false" customHeight="true" outlineLevel="0" collapsed="false">
      <c r="A983" s="1" t="s">
        <v>1072</v>
      </c>
      <c r="B983" s="1" t="s">
        <v>12</v>
      </c>
      <c r="C983" s="1" t="s">
        <v>13</v>
      </c>
      <c r="D983" s="1" t="s">
        <v>14</v>
      </c>
      <c r="E983" s="1" t="n">
        <v>538</v>
      </c>
      <c r="F983" s="1" t="n">
        <v>541</v>
      </c>
      <c r="G983" s="1" t="n">
        <v>53.2</v>
      </c>
      <c r="H983" s="1" t="n">
        <v>95.4</v>
      </c>
      <c r="I983" s="1" t="n">
        <v>260</v>
      </c>
    </row>
    <row r="984" customFormat="false" ht="15.75" hidden="false" customHeight="true" outlineLevel="0" collapsed="false">
      <c r="A984" s="1" t="s">
        <v>1073</v>
      </c>
      <c r="B984" s="1" t="s">
        <v>12</v>
      </c>
      <c r="C984" s="1" t="s">
        <v>13</v>
      </c>
      <c r="D984" s="1" t="s">
        <v>14</v>
      </c>
      <c r="E984" s="1" t="n">
        <v>565</v>
      </c>
      <c r="F984" s="1" t="n">
        <v>567</v>
      </c>
      <c r="G984" s="1" t="n">
        <v>43</v>
      </c>
      <c r="H984" s="1" t="n">
        <v>95.8</v>
      </c>
      <c r="I984" s="1" t="n">
        <v>290</v>
      </c>
    </row>
    <row r="985" customFormat="false" ht="15.75" hidden="false" customHeight="true" outlineLevel="0" collapsed="false">
      <c r="A985" s="1" t="s">
        <v>1074</v>
      </c>
      <c r="B985" s="1" t="s">
        <v>12</v>
      </c>
      <c r="C985" s="1" t="s">
        <v>13</v>
      </c>
      <c r="D985" s="1" t="s">
        <v>14</v>
      </c>
      <c r="E985" s="1" t="n">
        <v>539</v>
      </c>
      <c r="F985" s="1" t="n">
        <v>541</v>
      </c>
      <c r="G985" s="1" t="n">
        <v>53</v>
      </c>
      <c r="H985" s="1" t="n">
        <v>95.4</v>
      </c>
      <c r="I985" s="1" t="n">
        <v>260</v>
      </c>
    </row>
    <row r="986" customFormat="false" ht="15.75" hidden="false" customHeight="true" outlineLevel="0" collapsed="false">
      <c r="A986" s="1" t="s">
        <v>1075</v>
      </c>
      <c r="B986" s="1" t="s">
        <v>12</v>
      </c>
      <c r="C986" s="1" t="s">
        <v>13</v>
      </c>
      <c r="D986" s="1" t="s">
        <v>14</v>
      </c>
      <c r="E986" s="1" t="n">
        <v>538</v>
      </c>
      <c r="F986" s="1" t="n">
        <v>541</v>
      </c>
      <c r="G986" s="1" t="n">
        <v>53.2</v>
      </c>
      <c r="H986" s="1" t="n">
        <v>95.4</v>
      </c>
      <c r="I986" s="1" t="n">
        <v>260</v>
      </c>
    </row>
    <row r="987" customFormat="false" ht="15.75" hidden="false" customHeight="true" outlineLevel="0" collapsed="false">
      <c r="A987" s="1" t="s">
        <v>1076</v>
      </c>
      <c r="B987" s="1" t="s">
        <v>12</v>
      </c>
      <c r="C987" s="1" t="s">
        <v>13</v>
      </c>
      <c r="D987" s="1" t="s">
        <v>14</v>
      </c>
      <c r="E987" s="1" t="n">
        <v>539</v>
      </c>
      <c r="F987" s="1" t="n">
        <v>541</v>
      </c>
      <c r="G987" s="1" t="n">
        <v>53</v>
      </c>
      <c r="H987" s="1" t="n">
        <v>95.4</v>
      </c>
      <c r="I987" s="1" t="n">
        <v>260</v>
      </c>
    </row>
    <row r="988" customFormat="false" ht="15.75" hidden="false" customHeight="true" outlineLevel="0" collapsed="false">
      <c r="A988" s="1" t="s">
        <v>1077</v>
      </c>
      <c r="B988" s="1" t="s">
        <v>20</v>
      </c>
      <c r="C988" s="1" t="s">
        <v>21</v>
      </c>
      <c r="D988" s="1" t="s">
        <v>14</v>
      </c>
      <c r="E988" s="1" t="n">
        <v>1480</v>
      </c>
      <c r="F988" s="1" t="n">
        <v>1511</v>
      </c>
      <c r="G988" s="1" t="n">
        <v>82.5</v>
      </c>
      <c r="H988" s="1" t="n">
        <v>115.9</v>
      </c>
      <c r="I988" s="1" t="n">
        <v>280</v>
      </c>
    </row>
    <row r="989" customFormat="false" ht="15.75" hidden="false" customHeight="true" outlineLevel="0" collapsed="false">
      <c r="A989" s="1" t="s">
        <v>1078</v>
      </c>
      <c r="B989" s="1" t="s">
        <v>12</v>
      </c>
      <c r="C989" s="1" t="s">
        <v>13</v>
      </c>
      <c r="D989" s="1" t="s">
        <v>14</v>
      </c>
      <c r="E989" s="1" t="n">
        <v>538</v>
      </c>
      <c r="F989" s="1" t="n">
        <v>541</v>
      </c>
      <c r="G989" s="1" t="n">
        <v>53.2</v>
      </c>
      <c r="H989" s="1" t="n">
        <v>95.4</v>
      </c>
      <c r="I989" s="1" t="n">
        <v>260</v>
      </c>
    </row>
    <row r="990" customFormat="false" ht="15.75" hidden="false" customHeight="true" outlineLevel="0" collapsed="false">
      <c r="A990" s="1" t="s">
        <v>1079</v>
      </c>
      <c r="B990" s="1" t="s">
        <v>12</v>
      </c>
      <c r="C990" s="1" t="s">
        <v>13</v>
      </c>
      <c r="D990" s="1" t="s">
        <v>14</v>
      </c>
      <c r="E990" s="1" t="n">
        <v>260</v>
      </c>
      <c r="F990" s="1" t="n">
        <v>280</v>
      </c>
      <c r="G990" s="1" t="n">
        <v>53</v>
      </c>
      <c r="H990" s="1" t="n">
        <v>95.6</v>
      </c>
      <c r="I990" s="1" t="n">
        <v>260</v>
      </c>
    </row>
    <row r="991" customFormat="false" ht="15.75" hidden="false" customHeight="true" outlineLevel="0" collapsed="false">
      <c r="A991" s="1" t="s">
        <v>1080</v>
      </c>
      <c r="B991" s="1" t="s">
        <v>1081</v>
      </c>
      <c r="C991" s="1" t="s">
        <v>37</v>
      </c>
      <c r="D991" s="1" t="s">
        <v>14</v>
      </c>
      <c r="E991" s="1" t="n">
        <v>35788</v>
      </c>
      <c r="F991" s="1" t="n">
        <v>35800</v>
      </c>
      <c r="G991" s="1" t="n">
        <v>0.1</v>
      </c>
      <c r="H991" s="1" t="n">
        <v>1436.1</v>
      </c>
      <c r="I991" s="1" t="n">
        <v>3800</v>
      </c>
    </row>
    <row r="992" customFormat="false" ht="15.75" hidden="false" customHeight="true" outlineLevel="0" collapsed="false">
      <c r="A992" s="1" t="s">
        <v>1082</v>
      </c>
      <c r="B992" s="1" t="s">
        <v>12</v>
      </c>
      <c r="C992" s="1" t="s">
        <v>64</v>
      </c>
      <c r="D992" s="1" t="s">
        <v>98</v>
      </c>
      <c r="E992" s="1" t="n">
        <v>493</v>
      </c>
      <c r="F992" s="1" t="n">
        <v>512</v>
      </c>
      <c r="G992" s="1" t="n">
        <v>60.7</v>
      </c>
      <c r="H992" s="1" t="n">
        <v>94.7</v>
      </c>
      <c r="I992" s="1" t="n">
        <v>4</v>
      </c>
    </row>
    <row r="993" customFormat="false" ht="15.75" hidden="false" customHeight="true" outlineLevel="0" collapsed="false">
      <c r="A993" s="1" t="s">
        <v>1083</v>
      </c>
      <c r="B993" s="1" t="s">
        <v>12</v>
      </c>
      <c r="C993" s="1" t="s">
        <v>13</v>
      </c>
      <c r="D993" s="1" t="s">
        <v>14</v>
      </c>
      <c r="E993" s="1" t="n">
        <v>548</v>
      </c>
      <c r="F993" s="1" t="n">
        <v>561</v>
      </c>
      <c r="G993" s="1" t="n">
        <v>53</v>
      </c>
      <c r="H993" s="1" t="n">
        <v>95.6</v>
      </c>
      <c r="I993" s="1" t="n">
        <v>260</v>
      </c>
    </row>
    <row r="994" customFormat="false" ht="15.75" hidden="false" customHeight="true" outlineLevel="0" collapsed="false">
      <c r="A994" s="1" t="s">
        <v>1084</v>
      </c>
      <c r="B994" s="1" t="s">
        <v>645</v>
      </c>
      <c r="C994" s="1" t="s">
        <v>37</v>
      </c>
      <c r="D994" s="1" t="s">
        <v>18</v>
      </c>
      <c r="E994" s="1" t="n">
        <v>522</v>
      </c>
      <c r="F994" s="1" t="n">
        <v>535</v>
      </c>
      <c r="G994" s="1" t="n">
        <v>97.5</v>
      </c>
      <c r="H994" s="1" t="n">
        <v>94.5</v>
      </c>
      <c r="I994" s="1" t="n">
        <v>170</v>
      </c>
    </row>
    <row r="995" customFormat="false" ht="15.75" hidden="false" customHeight="true" outlineLevel="0" collapsed="false">
      <c r="A995" s="1" t="s">
        <v>1085</v>
      </c>
      <c r="B995" s="1" t="s">
        <v>12</v>
      </c>
      <c r="C995" s="1" t="s">
        <v>13</v>
      </c>
      <c r="D995" s="1" t="s">
        <v>18</v>
      </c>
      <c r="E995" s="1" t="n">
        <v>496</v>
      </c>
      <c r="F995" s="1" t="n">
        <v>506</v>
      </c>
      <c r="G995" s="1" t="n">
        <v>97.5</v>
      </c>
      <c r="H995" s="1" t="n">
        <v>94.6</v>
      </c>
      <c r="I995" s="1" t="n">
        <v>4</v>
      </c>
    </row>
    <row r="996" customFormat="false" ht="15.75" hidden="false" customHeight="true" outlineLevel="0" collapsed="false">
      <c r="A996" s="1" t="s">
        <v>1086</v>
      </c>
      <c r="B996" s="1" t="s">
        <v>12</v>
      </c>
      <c r="C996" s="1" t="s">
        <v>13</v>
      </c>
      <c r="D996" s="1" t="s">
        <v>14</v>
      </c>
      <c r="E996" s="1" t="n">
        <v>549</v>
      </c>
      <c r="F996" s="1" t="n">
        <v>550</v>
      </c>
      <c r="G996" s="1" t="n">
        <v>53</v>
      </c>
      <c r="H996" s="1" t="n">
        <v>96.5</v>
      </c>
      <c r="I996" s="1" t="n">
        <v>227</v>
      </c>
    </row>
    <row r="997" customFormat="false" ht="15.75" hidden="false" customHeight="true" outlineLevel="0" collapsed="false">
      <c r="A997" s="1" t="s">
        <v>1087</v>
      </c>
      <c r="B997" s="1" t="s">
        <v>12</v>
      </c>
      <c r="C997" s="1" t="s">
        <v>13</v>
      </c>
      <c r="D997" s="1" t="s">
        <v>14</v>
      </c>
      <c r="E997" s="1" t="n">
        <v>348</v>
      </c>
      <c r="F997" s="1" t="n">
        <v>351</v>
      </c>
      <c r="G997" s="1" t="n">
        <v>53.2</v>
      </c>
      <c r="H997" s="1" t="n">
        <v>91.5</v>
      </c>
      <c r="I997" s="1" t="n">
        <v>260</v>
      </c>
    </row>
    <row r="998" customFormat="false" ht="15.75" hidden="false" customHeight="true" outlineLevel="0" collapsed="false">
      <c r="A998" s="1" t="s">
        <v>1088</v>
      </c>
      <c r="B998" s="1" t="s">
        <v>12</v>
      </c>
      <c r="C998" s="1" t="s">
        <v>21</v>
      </c>
      <c r="D998" s="1" t="s">
        <v>14</v>
      </c>
      <c r="E998" s="1" t="n">
        <v>35783</v>
      </c>
      <c r="F998" s="1" t="n">
        <v>35790</v>
      </c>
      <c r="G998" s="1" t="n">
        <v>0</v>
      </c>
      <c r="H998" s="1" t="n">
        <v>1436.1</v>
      </c>
      <c r="I998" s="1" t="n">
        <v>5900</v>
      </c>
    </row>
    <row r="999" customFormat="false" ht="15.75" hidden="false" customHeight="true" outlineLevel="0" collapsed="false">
      <c r="A999" s="1" t="s">
        <v>1089</v>
      </c>
      <c r="B999" s="1" t="s">
        <v>12</v>
      </c>
      <c r="C999" s="1" t="s">
        <v>13</v>
      </c>
      <c r="D999" s="1" t="s">
        <v>14</v>
      </c>
      <c r="E999" s="1" t="n">
        <v>323</v>
      </c>
      <c r="F999" s="1" t="n">
        <v>342</v>
      </c>
      <c r="G999" s="1" t="n">
        <v>43</v>
      </c>
      <c r="H999" s="1" t="n">
        <v>95.8</v>
      </c>
      <c r="I999" s="1" t="n">
        <v>290</v>
      </c>
    </row>
    <row r="1000" customFormat="false" ht="15.75" hidden="false" customHeight="true" outlineLevel="0" collapsed="false">
      <c r="A1000" s="1" t="s">
        <v>1090</v>
      </c>
      <c r="B1000" s="1" t="s">
        <v>12</v>
      </c>
      <c r="C1000" s="1" t="s">
        <v>21</v>
      </c>
      <c r="D1000" s="1" t="s">
        <v>18</v>
      </c>
      <c r="E1000" s="1" t="n">
        <v>1009</v>
      </c>
      <c r="F1000" s="1" t="n">
        <v>1204</v>
      </c>
      <c r="G1000" s="1" t="n">
        <v>63.4</v>
      </c>
      <c r="H1000" s="1" t="n">
        <v>107.4</v>
      </c>
      <c r="I1000" s="1" t="n">
        <v>6500</v>
      </c>
    </row>
    <row r="1001" customFormat="false" ht="15.75" hidden="false" customHeight="true" outlineLevel="0" collapsed="false">
      <c r="A1001" s="1" t="s">
        <v>1091</v>
      </c>
      <c r="B1001" s="1" t="s">
        <v>12</v>
      </c>
      <c r="C1001" s="1" t="s">
        <v>13</v>
      </c>
      <c r="D1001" s="1" t="s">
        <v>14</v>
      </c>
      <c r="E1001" s="1" t="n">
        <v>539</v>
      </c>
      <c r="F1001" s="1" t="n">
        <v>541</v>
      </c>
      <c r="G1001" s="1" t="n">
        <v>53</v>
      </c>
      <c r="H1001" s="1" t="n">
        <v>95.4</v>
      </c>
      <c r="I1001" s="1" t="n">
        <v>260</v>
      </c>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F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14.43359375" defaultRowHeight="15" zeroHeight="false" outlineLevelRow="0" outlineLevelCol="0"/>
  <cols>
    <col collapsed="false" customWidth="true" hidden="false" outlineLevel="0" max="1" min="1" style="1" width="18"/>
    <col collapsed="false" customWidth="true" hidden="false" outlineLevel="0" max="2" min="2" style="1" width="12"/>
    <col collapsed="false" customWidth="true" hidden="false" outlineLevel="0" max="4" min="3" style="1" width="10"/>
    <col collapsed="false" customWidth="true" hidden="false" outlineLevel="0" max="5" min="5" style="1" width="16"/>
    <col collapsed="false" customWidth="true" hidden="false" outlineLevel="0" max="6" min="6" style="1" width="42"/>
    <col collapsed="false" customWidth="true" hidden="false" outlineLevel="0" max="7" min="7" style="1" width="10"/>
    <col collapsed="false" customWidth="true" hidden="false" outlineLevel="0" max="8" min="8" style="1" width="14"/>
    <col collapsed="false" customWidth="true" hidden="false" outlineLevel="0" max="10" min="9" style="1" width="12"/>
    <col collapsed="false" customWidth="true" hidden="false" outlineLevel="0" max="11" min="11" style="1" width="42"/>
    <col collapsed="false" customWidth="true" hidden="false" outlineLevel="0" max="12" min="12" style="1" width="16"/>
    <col collapsed="false" customWidth="true" hidden="false" outlineLevel="0" max="26" min="13" style="1" width="8.71"/>
    <col collapsed="false" customWidth="true" hidden="false" outlineLevel="0" max="27" min="27" style="1" width="10"/>
    <col collapsed="false" customWidth="true" hidden="false" outlineLevel="0" max="29" min="28" style="1" width="16"/>
    <col collapsed="false" customWidth="true" hidden="false" outlineLevel="0" max="32" min="30" style="1" width="12"/>
  </cols>
  <sheetData>
    <row r="1" customFormat="false" ht="45" hidden="false" customHeight="true" outlineLevel="0" collapsed="false">
      <c r="A1" s="5" t="s">
        <v>1092</v>
      </c>
      <c r="B1" s="5"/>
      <c r="C1" s="5"/>
      <c r="D1" s="5"/>
      <c r="E1" s="5"/>
      <c r="F1" s="5"/>
      <c r="G1" s="5"/>
      <c r="H1" s="5"/>
      <c r="I1" s="5"/>
      <c r="J1" s="5"/>
      <c r="K1" s="5"/>
      <c r="L1" s="5"/>
      <c r="N1" s="6" t="s">
        <v>1093</v>
      </c>
      <c r="O1" s="1" t="s">
        <v>1094</v>
      </c>
      <c r="P1" s="1" t="s">
        <v>1095</v>
      </c>
      <c r="Q1" s="6" t="s">
        <v>1096</v>
      </c>
      <c r="R1" s="1" t="s">
        <v>1094</v>
      </c>
      <c r="S1" s="1" t="s">
        <v>1095</v>
      </c>
      <c r="T1" s="6" t="s">
        <v>1097</v>
      </c>
      <c r="U1" s="1" t="s">
        <v>1094</v>
      </c>
      <c r="V1" s="1" t="s">
        <v>1095</v>
      </c>
      <c r="X1" s="7" t="s">
        <v>1098</v>
      </c>
      <c r="Y1" s="7"/>
      <c r="Z1" s="7"/>
      <c r="AA1" s="7"/>
      <c r="AB1" s="7"/>
      <c r="AC1" s="7"/>
      <c r="AD1" s="7"/>
      <c r="AE1" s="7"/>
      <c r="AF1" s="7"/>
    </row>
    <row r="2" customFormat="false" ht="15" hidden="false" customHeight="true" outlineLevel="0" collapsed="false">
      <c r="N2" s="8" t="s">
        <v>609</v>
      </c>
      <c r="O2" s="8" t="n">
        <f aca="false">COUNTIF('Raw Data'!$B$2:$B$1001,N2)</f>
        <v>1</v>
      </c>
      <c r="P2" s="8" t="n">
        <f aca="false">RANK(O2,$O$2:$O$54,0)+COUNTIF($O$2:O2,O2)-1</f>
        <v>27</v>
      </c>
      <c r="Q2" s="8" t="s">
        <v>97</v>
      </c>
      <c r="R2" s="8" t="n">
        <f aca="false">COUNTIF('Raw Data'!$C$2:$C$1001,Q2)</f>
        <v>33</v>
      </c>
      <c r="S2" s="8" t="n">
        <f aca="false">RANK(R2,$R$2:$R$13,0)+COUNTIF($R$2:R2,R2)-1</f>
        <v>4</v>
      </c>
      <c r="T2" s="8" t="s">
        <v>14</v>
      </c>
      <c r="U2" s="8" t="n">
        <f aca="false">COUNTIF('Raw Data'!$D$2:$D$1001,T2)</f>
        <v>704</v>
      </c>
      <c r="V2" s="8" t="n">
        <f aca="false">RANK(U2,$U$2:$U$18,0)+COUNTIF($U$2:U2,U2)-1</f>
        <v>1</v>
      </c>
    </row>
    <row r="3" customFormat="false" ht="45.75" hidden="false" customHeight="true" outlineLevel="0" collapsed="false">
      <c r="A3" s="9" t="s">
        <v>1099</v>
      </c>
      <c r="B3" s="9" t="s">
        <v>1100</v>
      </c>
      <c r="C3" s="9" t="s">
        <v>1101</v>
      </c>
      <c r="D3" s="9" t="s">
        <v>1102</v>
      </c>
      <c r="E3" s="9" t="s">
        <v>1103</v>
      </c>
      <c r="F3" s="9" t="s">
        <v>1104</v>
      </c>
      <c r="G3" s="9" t="s">
        <v>1105</v>
      </c>
      <c r="H3" s="9" t="s">
        <v>1106</v>
      </c>
      <c r="I3" s="9" t="s">
        <v>1107</v>
      </c>
      <c r="J3" s="9" t="s">
        <v>1108</v>
      </c>
      <c r="K3" s="9" t="s">
        <v>1109</v>
      </c>
      <c r="L3" s="9" t="s">
        <v>1110</v>
      </c>
      <c r="M3" s="10"/>
      <c r="N3" s="11" t="s">
        <v>112</v>
      </c>
      <c r="O3" s="11" t="n">
        <f aca="false">COUNTIF('Raw Data'!$B$2:$B$1001,N3)</f>
        <v>8</v>
      </c>
      <c r="P3" s="11" t="n">
        <f aca="false">RANK(O3,$O$2:$O$54,0)+COUNTIF($O$2:O3,O3)-1</f>
        <v>9</v>
      </c>
      <c r="Q3" s="11" t="s">
        <v>574</v>
      </c>
      <c r="R3" s="11" t="n">
        <f aca="false">COUNTIF('Raw Data'!$C$2:$C$1001,Q3)</f>
        <v>1</v>
      </c>
      <c r="S3" s="11" t="n">
        <f aca="false">RANK(R3,$R$2:$R$13,0)+COUNTIF($R$2:R3,R3)-1</f>
        <v>10</v>
      </c>
      <c r="T3" s="11" t="s">
        <v>421</v>
      </c>
      <c r="U3" s="11" t="n">
        <f aca="false">COUNTIF('Raw Data'!$D$2:$D$1001,T3)</f>
        <v>2</v>
      </c>
      <c r="V3" s="8" t="n">
        <f aca="false">RANK(U3,$U$2:$U$18,0)+COUNTIF($U$2:U3,U3)-1</f>
        <v>9</v>
      </c>
      <c r="X3" s="12" t="s">
        <v>1099</v>
      </c>
      <c r="Y3" s="12" t="s">
        <v>1111</v>
      </c>
      <c r="Z3" s="12" t="s">
        <v>1112</v>
      </c>
      <c r="AA3" s="12" t="s">
        <v>1113</v>
      </c>
      <c r="AB3" s="12" t="s">
        <v>1114</v>
      </c>
      <c r="AC3" s="12" t="s">
        <v>1115</v>
      </c>
      <c r="AD3" s="12" t="s">
        <v>1116</v>
      </c>
      <c r="AE3" s="12" t="s">
        <v>1117</v>
      </c>
      <c r="AF3" s="12" t="s">
        <v>1118</v>
      </c>
    </row>
    <row r="4" customFormat="false" ht="68.25" hidden="false" customHeight="true" outlineLevel="0" collapsed="false">
      <c r="A4" s="10" t="s">
        <v>1119</v>
      </c>
      <c r="B4" s="10" t="s">
        <v>1120</v>
      </c>
      <c r="C4" s="13" t="n">
        <f aca="false">AVERAGE('Raw Data'!$E$2:$E$1001)</f>
        <v>4281.81481481482</v>
      </c>
      <c r="D4" s="13" t="n">
        <f aca="false">MEDIAN('Raw Data'!$E$2:$E$1001)</f>
        <v>548</v>
      </c>
      <c r="E4" s="13" t="n">
        <f aca="false">MODE('Raw Data'!$E$2:$E$1001)</f>
        <v>548</v>
      </c>
      <c r="F4" s="10" t="s">
        <v>1121</v>
      </c>
      <c r="G4" s="13" t="n">
        <f aca="false">MAX('Raw Data'!$E$2:$E$1001)-MIN('Raw Data'!$E$2:$E$1001)</f>
        <v>37632</v>
      </c>
      <c r="H4" s="13" t="n">
        <f aca="false">_xlfn.VAR.S('Raw Data'!$E$2:$E$1001)</f>
        <v>109853042.124991</v>
      </c>
      <c r="I4" s="13" t="n">
        <f aca="false">_xlfn.STDEV.S('Raw Data'!$E$2:$E$1001)</f>
        <v>10481.0801983856</v>
      </c>
      <c r="J4" s="13" t="n">
        <f aca="false">QUARTILE('Raw Data'!$E$2:$E$1001,3)-QUARTILE('Raw Data'!$E$2:$E$1001,1)</f>
        <v>84</v>
      </c>
      <c r="K4" s="10" t="s">
        <v>1122</v>
      </c>
      <c r="L4" s="10" t="s">
        <v>1123</v>
      </c>
      <c r="M4" s="10"/>
      <c r="N4" s="11" t="s">
        <v>56</v>
      </c>
      <c r="O4" s="11" t="n">
        <f aca="false">COUNTIF('Raw Data'!$B$2:$B$1001,N4)</f>
        <v>4</v>
      </c>
      <c r="P4" s="11" t="n">
        <f aca="false">RANK(O4,$O$2:$O$54,0)+COUNTIF($O$2:O4,O4)-1</f>
        <v>13</v>
      </c>
      <c r="Q4" s="11" t="s">
        <v>57</v>
      </c>
      <c r="R4" s="11" t="n">
        <f aca="false">COUNTIF('Raw Data'!$C$2:$C$1001,Q4)</f>
        <v>1</v>
      </c>
      <c r="S4" s="11" t="n">
        <f aca="false">RANK(R4,$R$2:$R$13,0)+COUNTIF($R$2:R4,R4)-1</f>
        <v>11</v>
      </c>
      <c r="T4" s="11" t="s">
        <v>18</v>
      </c>
      <c r="U4" s="11" t="n">
        <f aca="false">COUNTIF('Raw Data'!$D$2:$D$1001,T4)</f>
        <v>174</v>
      </c>
      <c r="V4" s="8" t="n">
        <f aca="false">RANK(U4,$U$2:$U$18,0)+COUNTIF($U$2:U4,U4)-1</f>
        <v>2</v>
      </c>
      <c r="X4" s="14" t="str">
        <f aca="false">A4</f>
        <v>Perigee (km)</v>
      </c>
      <c r="Y4" s="15" t="n">
        <f aca="false">QUARTILE('Raw Data'!$E$2:$E$1001,1)</f>
        <v>521</v>
      </c>
      <c r="Z4" s="15" t="n">
        <f aca="false">QUARTILE('Raw Data'!$E$2:$E$1001,3)</f>
        <v>605</v>
      </c>
      <c r="AA4" s="15" t="n">
        <f aca="false">J4</f>
        <v>84</v>
      </c>
      <c r="AB4" s="15" t="n">
        <f aca="false">Y4-1.5*AA4</f>
        <v>395</v>
      </c>
      <c r="AC4" s="15" t="n">
        <f aca="false">Z4+1.5*AA4</f>
        <v>731</v>
      </c>
      <c r="AD4" s="16" t="n">
        <f aca="false">COUNTIFS('Raw Data'!$E$2:$E$1001,"&lt;"&amp;AB4,'Raw Data'!$E$2:$E$1001,"&lt;&gt;")</f>
        <v>112</v>
      </c>
      <c r="AE4" s="16" t="n">
        <f aca="false">COUNTIFS('Raw Data'!$E$2:$E$1001,"&gt;"&amp;AC4,'Raw Data'!$E$2:$E$1001,"&lt;&gt;")</f>
        <v>207</v>
      </c>
      <c r="AF4" s="17" t="n">
        <f aca="false">(AD4+AE4)/COUNT('Raw Data'!$E$2:$E$1001)</f>
        <v>0.319319319319319</v>
      </c>
    </row>
    <row r="5" customFormat="false" ht="68.25" hidden="false" customHeight="true" outlineLevel="0" collapsed="false">
      <c r="A5" s="10" t="s">
        <v>1124</v>
      </c>
      <c r="B5" s="10" t="s">
        <v>1120</v>
      </c>
      <c r="C5" s="13" t="n">
        <f aca="false">AVERAGE('Raw Data'!$F$2:$F$1001)</f>
        <v>5350.70770770771</v>
      </c>
      <c r="D5" s="13" t="n">
        <f aca="false">MEDIAN('Raw Data'!$F$2:$F$1001)</f>
        <v>561</v>
      </c>
      <c r="E5" s="13" t="n">
        <f aca="false">MODE('Raw Data'!$F$2:$F$1001)</f>
        <v>541</v>
      </c>
      <c r="F5" s="10" t="s">
        <v>1125</v>
      </c>
      <c r="G5" s="13" t="n">
        <f aca="false">MAX('Raw Data'!$F$2:$F$1001)-MIN('Raw Data'!$F$2:$F$1001)</f>
        <v>353648</v>
      </c>
      <c r="H5" s="13" t="n">
        <f aca="false">_xlfn.VAR.S('Raw Data'!$F$2:$F$1001)</f>
        <v>342786056.193036</v>
      </c>
      <c r="I5" s="13" t="n">
        <f aca="false">_xlfn.STDEV.S('Raw Data'!$F$2:$F$1001)</f>
        <v>18514.4823366206</v>
      </c>
      <c r="J5" s="13" t="n">
        <f aca="false">QUARTILE('Raw Data'!$F$2:$F$1001,3)-QUARTILE('Raw Data'!$F$2:$F$1001,1)</f>
        <v>88.5</v>
      </c>
      <c r="K5" s="10" t="s">
        <v>1122</v>
      </c>
      <c r="L5" s="10" t="s">
        <v>1126</v>
      </c>
      <c r="M5" s="10"/>
      <c r="N5" s="11" t="s">
        <v>844</v>
      </c>
      <c r="O5" s="11" t="n">
        <f aca="false">COUNTIF('Raw Data'!$B$2:$B$1001,N5)</f>
        <v>1</v>
      </c>
      <c r="P5" s="11" t="n">
        <f aca="false">RANK(O5,$O$2:$O$54,0)+COUNTIF($O$2:O5,O5)-1</f>
        <v>28</v>
      </c>
      <c r="Q5" s="11" t="s">
        <v>13</v>
      </c>
      <c r="R5" s="11" t="n">
        <f aca="false">COUNTIF('Raw Data'!$C$2:$C$1001,Q5)</f>
        <v>788</v>
      </c>
      <c r="S5" s="11" t="n">
        <f aca="false">RANK(R5,$R$2:$R$13,0)+COUNTIF($R$2:R5,R5)-1</f>
        <v>1</v>
      </c>
      <c r="T5" s="11" t="s">
        <v>627</v>
      </c>
      <c r="U5" s="11" t="n">
        <f aca="false">COUNTIF('Raw Data'!$D$2:$D$1001,T5)</f>
        <v>1</v>
      </c>
      <c r="V5" s="8" t="n">
        <f aca="false">RANK(U5,$U$2:$U$18,0)+COUNTIF($U$2:U5,U5)-1</f>
        <v>13</v>
      </c>
      <c r="X5" s="14" t="str">
        <f aca="false">A5</f>
        <v>Apogee (km)</v>
      </c>
      <c r="Y5" s="15" t="n">
        <f aca="false">QUARTILE('Raw Data'!$F$2:$F$1001,1)</f>
        <v>536</v>
      </c>
      <c r="Z5" s="15" t="n">
        <f aca="false">QUARTILE('Raw Data'!$F$2:$F$1001,3)</f>
        <v>624.5</v>
      </c>
      <c r="AA5" s="15" t="n">
        <f aca="false">J5</f>
        <v>88.5</v>
      </c>
      <c r="AB5" s="15" t="n">
        <f aca="false">Y5-1.5*AA5</f>
        <v>403.25</v>
      </c>
      <c r="AC5" s="15" t="n">
        <f aca="false">Z5+1.5*AA5</f>
        <v>757.25</v>
      </c>
      <c r="AD5" s="16" t="n">
        <f aca="false">COUNTIFS('Raw Data'!$F$2:$F$1001,"&lt;"&amp;AB5,'Raw Data'!$F$2:$F$1001,"&lt;&gt;")</f>
        <v>106</v>
      </c>
      <c r="AE5" s="16" t="n">
        <f aca="false">COUNTIFS('Raw Data'!$F$2:$F$1001,"&gt;"&amp;AC5,'Raw Data'!$F$2:$F$1001,"&lt;&gt;")</f>
        <v>209</v>
      </c>
      <c r="AF5" s="17" t="n">
        <f aca="false">(AD5+AE5)/COUNT('Raw Data'!$F$2:$F$1001)</f>
        <v>0.315315315315315</v>
      </c>
    </row>
    <row r="6" customFormat="false" ht="68.25" hidden="false" customHeight="true" outlineLevel="0" collapsed="false">
      <c r="A6" s="10" t="s">
        <v>1127</v>
      </c>
      <c r="B6" s="10" t="s">
        <v>1120</v>
      </c>
      <c r="C6" s="13" t="n">
        <f aca="false">AVERAGE('Raw Data'!$G$2:$G$1001)</f>
        <v>61.4101</v>
      </c>
      <c r="D6" s="13" t="n">
        <f aca="false">MEDIAN('Raw Data'!$G$2:$G$1001)</f>
        <v>53.2</v>
      </c>
      <c r="E6" s="13" t="n">
        <f aca="false">MODE('Raw Data'!$G$2:$G$1001)</f>
        <v>53</v>
      </c>
      <c r="F6" s="10" t="s">
        <v>1128</v>
      </c>
      <c r="G6" s="13" t="n">
        <f aca="false">MAX('Raw Data'!$G$2:$G$1001)-MIN('Raw Data'!$G$2:$G$1001)</f>
        <v>141.12</v>
      </c>
      <c r="H6" s="13" t="n">
        <f aca="false">_xlfn.VAR.S('Raw Data'!$G$2:$G$1001)</f>
        <v>837.020501291289</v>
      </c>
      <c r="I6" s="13" t="n">
        <f aca="false">_xlfn.STDEV.S('Raw Data'!$G$2:$G$1001)</f>
        <v>28.931306594955</v>
      </c>
      <c r="J6" s="13" t="n">
        <f aca="false">QUARTILE('Raw Data'!$G$2:$G$1001,3)-QUARTILE('Raw Data'!$G$2:$G$1001,1)</f>
        <v>34.9</v>
      </c>
      <c r="K6" s="10" t="s">
        <v>1122</v>
      </c>
      <c r="L6" s="10" t="s">
        <v>1129</v>
      </c>
      <c r="M6" s="10"/>
      <c r="N6" s="11" t="s">
        <v>1016</v>
      </c>
      <c r="O6" s="11" t="n">
        <f aca="false">COUNTIF('Raw Data'!$B$2:$B$1001,N6)</f>
        <v>1</v>
      </c>
      <c r="P6" s="11" t="n">
        <f aca="false">RANK(O6,$O$2:$O$54,0)+COUNTIF($O$2:O6,O6)-1</f>
        <v>29</v>
      </c>
      <c r="Q6" s="11" t="s">
        <v>37</v>
      </c>
      <c r="R6" s="11" t="n">
        <f aca="false">COUNTIF('Raw Data'!$C$2:$C$1001,Q6)</f>
        <v>80</v>
      </c>
      <c r="S6" s="11" t="n">
        <f aca="false">RANK(R6,$R$2:$R$13,0)+COUNTIF($R$2:R6,R6)-1</f>
        <v>2</v>
      </c>
      <c r="T6" s="11" t="s">
        <v>440</v>
      </c>
      <c r="U6" s="11" t="n">
        <f aca="false">COUNTIF('Raw Data'!$D$2:$D$1001,T6)</f>
        <v>2</v>
      </c>
      <c r="V6" s="8" t="n">
        <f aca="false">RANK(U6,$U$2:$U$18,0)+COUNTIF($U$2:U6,U6)-1</f>
        <v>10</v>
      </c>
      <c r="X6" s="14" t="str">
        <f aca="false">A6</f>
        <v>Inclination (deg)</v>
      </c>
      <c r="Y6" s="15" t="n">
        <f aca="false">QUARTILE('Raw Data'!$G$2:$G$1001,1)</f>
        <v>53</v>
      </c>
      <c r="Z6" s="15" t="n">
        <f aca="false">QUARTILE('Raw Data'!$G$2:$G$1001,3)</f>
        <v>87.9</v>
      </c>
      <c r="AA6" s="15" t="n">
        <f aca="false">J6</f>
        <v>34.9</v>
      </c>
      <c r="AB6" s="15" t="n">
        <f aca="false">Y6-1.5*AA6</f>
        <v>0.649999999999992</v>
      </c>
      <c r="AC6" s="15" t="n">
        <f aca="false">Z6+1.5*AA6</f>
        <v>140.25</v>
      </c>
      <c r="AD6" s="16" t="n">
        <f aca="false">COUNTIFS('Raw Data'!$G$2:$G$1001,"&lt;"&amp;AB6,'Raw Data'!$G$2:$G$1001,"&lt;&gt;")</f>
        <v>86</v>
      </c>
      <c r="AE6" s="16" t="n">
        <f aca="false">COUNTIFS('Raw Data'!$G$2:$G$1001,"&gt;"&amp;AC6,'Raw Data'!$G$2:$G$1001,"&lt;&gt;")</f>
        <v>1</v>
      </c>
      <c r="AF6" s="17" t="n">
        <f aca="false">(AD6+AE6)/COUNT('Raw Data'!$G$2:$G$1001)</f>
        <v>0.087</v>
      </c>
    </row>
    <row r="7" customFormat="false" ht="68.25" hidden="false" customHeight="true" outlineLevel="0" collapsed="false">
      <c r="A7" s="10" t="s">
        <v>1130</v>
      </c>
      <c r="B7" s="10" t="s">
        <v>1120</v>
      </c>
      <c r="C7" s="13" t="n">
        <f aca="false">AVERAGE('Raw Data'!$H$2:$H$1001)</f>
        <v>254.484864321608</v>
      </c>
      <c r="D7" s="13" t="n">
        <f aca="false">MEDIAN('Raw Data'!$H$2:$H$1001)</f>
        <v>95.6</v>
      </c>
      <c r="E7" s="13" t="n">
        <f aca="false">MODE('Raw Data'!$H$2:$H$1001)</f>
        <v>95.6</v>
      </c>
      <c r="F7" s="10" t="s">
        <v>1131</v>
      </c>
      <c r="G7" s="13" t="n">
        <f aca="false">MAX('Raw Data'!$H$2:$H$1001)-MIN('Raw Data'!$H$2:$H$1001)</f>
        <v>8671</v>
      </c>
      <c r="H7" s="13" t="n">
        <f aca="false">_xlfn.VAR.S('Raw Data'!$H$2:$H$1001)</f>
        <v>256982.813253578</v>
      </c>
      <c r="I7" s="13" t="n">
        <f aca="false">_xlfn.STDEV.S('Raw Data'!$H$2:$H$1001)</f>
        <v>506.934722872263</v>
      </c>
      <c r="J7" s="13" t="n">
        <f aca="false">QUARTILE('Raw Data'!$H$2:$H$1001,3)-QUARTILE('Raw Data'!$H$2:$H$1001,1)</f>
        <v>1.75</v>
      </c>
      <c r="K7" s="10" t="s">
        <v>1122</v>
      </c>
      <c r="L7" s="10" t="s">
        <v>1132</v>
      </c>
      <c r="M7" s="10"/>
      <c r="N7" s="11" t="s">
        <v>972</v>
      </c>
      <c r="O7" s="11" t="n">
        <f aca="false">COUNTIF('Raw Data'!$B$2:$B$1001,N7)</f>
        <v>1</v>
      </c>
      <c r="P7" s="11" t="n">
        <f aca="false">RANK(O7,$O$2:$O$54,0)+COUNTIF($O$2:O7,O7)-1</f>
        <v>30</v>
      </c>
      <c r="Q7" s="11" t="s">
        <v>64</v>
      </c>
      <c r="R7" s="11" t="n">
        <f aca="false">COUNTIF('Raw Data'!$C$2:$C$1001,Q7)</f>
        <v>6</v>
      </c>
      <c r="S7" s="11" t="n">
        <f aca="false">RANK(R7,$R$2:$R$13,0)+COUNTIF($R$2:R7,R7)-1</f>
        <v>7</v>
      </c>
      <c r="T7" s="11" t="s">
        <v>306</v>
      </c>
      <c r="U7" s="11" t="n">
        <f aca="false">COUNTIF('Raw Data'!$D$2:$D$1001,T7)</f>
        <v>2</v>
      </c>
      <c r="V7" s="8" t="n">
        <f aca="false">RANK(U7,$U$2:$U$18,0)+COUNTIF($U$2:U7,U7)-1</f>
        <v>11</v>
      </c>
      <c r="X7" s="14" t="str">
        <f aca="false">A7</f>
        <v>Period (min)</v>
      </c>
      <c r="Y7" s="15" t="n">
        <f aca="false">QUARTILE('Raw Data'!$H$2:$H$1001,1)</f>
        <v>95</v>
      </c>
      <c r="Z7" s="15" t="n">
        <f aca="false">QUARTILE('Raw Data'!$H$2:$H$1001,3)</f>
        <v>96.75</v>
      </c>
      <c r="AA7" s="15" t="n">
        <f aca="false">J7</f>
        <v>1.75</v>
      </c>
      <c r="AB7" s="15" t="n">
        <f aca="false">Y7-1.5*AA7</f>
        <v>92.375</v>
      </c>
      <c r="AC7" s="15" t="n">
        <f aca="false">Z7+1.5*AA7</f>
        <v>99.375</v>
      </c>
      <c r="AD7" s="16" t="n">
        <f aca="false">COUNTIFS('Raw Data'!$H$2:$H$1001,"&lt;"&amp;AB7,'Raw Data'!$H$2:$H$1001,"&lt;&gt;")</f>
        <v>94</v>
      </c>
      <c r="AE7" s="16" t="n">
        <f aca="false">COUNTIFS('Raw Data'!$H$2:$H$1001,"&gt;"&amp;AC7,'Raw Data'!$H$2:$H$1001,"&lt;&gt;")</f>
        <v>196</v>
      </c>
      <c r="AF7" s="17" t="n">
        <f aca="false">(AD7+AE7)/COUNT('Raw Data'!$H$2:$H$1001)</f>
        <v>0.291457286432161</v>
      </c>
    </row>
    <row r="8" customFormat="false" ht="68.25" hidden="false" customHeight="true" outlineLevel="0" collapsed="false">
      <c r="A8" s="10" t="s">
        <v>1133</v>
      </c>
      <c r="B8" s="10" t="s">
        <v>1120</v>
      </c>
      <c r="C8" s="13" t="n">
        <f aca="false">AVERAGE('Raw Data'!$I$2:$I$1001)</f>
        <v>739.521820062048</v>
      </c>
      <c r="D8" s="13" t="n">
        <f aca="false">MEDIAN('Raw Data'!$I$2:$I$1001)</f>
        <v>260</v>
      </c>
      <c r="E8" s="13" t="n">
        <f aca="false">MODE('Raw Data'!$I$2:$I$1001)</f>
        <v>260</v>
      </c>
      <c r="F8" s="10" t="s">
        <v>1134</v>
      </c>
      <c r="G8" s="13" t="n">
        <f aca="false">MAX('Raw Data'!$I$2:$I$1001)-MIN('Raw Data'!$I$2:$I$1001)</f>
        <v>19999</v>
      </c>
      <c r="H8" s="13" t="n">
        <f aca="false">_xlfn.VAR.S('Raw Data'!$I$2:$I$1001)</f>
        <v>2589818.2345027</v>
      </c>
      <c r="I8" s="13" t="n">
        <f aca="false">_xlfn.STDEV.S('Raw Data'!$I$2:$I$1001)</f>
        <v>1609.29122116002</v>
      </c>
      <c r="J8" s="13" t="n">
        <f aca="false">QUARTILE('Raw Data'!$I$2:$I$1001,3)-QUARTILE('Raw Data'!$I$2:$I$1001,1)</f>
        <v>142</v>
      </c>
      <c r="K8" s="10" t="s">
        <v>1122</v>
      </c>
      <c r="L8" s="10" t="s">
        <v>1135</v>
      </c>
      <c r="M8" s="10"/>
      <c r="N8" s="11" t="s">
        <v>137</v>
      </c>
      <c r="O8" s="11" t="n">
        <f aca="false">COUNTIF('Raw Data'!$B$2:$B$1001,N8)</f>
        <v>4</v>
      </c>
      <c r="P8" s="11" t="n">
        <f aca="false">RANK(O8,$O$2:$O$54,0)+COUNTIF($O$2:O8,O8)-1</f>
        <v>14</v>
      </c>
      <c r="Q8" s="11" t="s">
        <v>83</v>
      </c>
      <c r="R8" s="11" t="n">
        <f aca="false">COUNTIF('Raw Data'!$C$2:$C$1001,Q8)</f>
        <v>12</v>
      </c>
      <c r="S8" s="11" t="n">
        <f aca="false">RANK(R8,$R$2:$R$13,0)+COUNTIF($R$2:R8,R8)-1</f>
        <v>5</v>
      </c>
      <c r="T8" s="11" t="s">
        <v>496</v>
      </c>
      <c r="U8" s="11" t="n">
        <f aca="false">COUNTIF('Raw Data'!$D$2:$D$1001,T8)</f>
        <v>1</v>
      </c>
      <c r="V8" s="8" t="n">
        <f aca="false">RANK(U8,$U$2:$U$18,0)+COUNTIF($U$2:U8,U8)-1</f>
        <v>14</v>
      </c>
      <c r="X8" s="14" t="str">
        <f aca="false">A8</f>
        <v>Launch Mass (kg)</v>
      </c>
      <c r="Y8" s="15" t="n">
        <f aca="false">QUARTILE('Raw Data'!$I$2:$I$1001,1)</f>
        <v>148</v>
      </c>
      <c r="Z8" s="15" t="n">
        <f aca="false">QUARTILE('Raw Data'!$I$2:$I$1001,3)</f>
        <v>290</v>
      </c>
      <c r="AA8" s="15" t="n">
        <f aca="false">J8</f>
        <v>142</v>
      </c>
      <c r="AB8" s="15" t="n">
        <f aca="false">Y8-1.5*AA8</f>
        <v>-65</v>
      </c>
      <c r="AC8" s="15" t="n">
        <f aca="false">Z8+1.5*AA8</f>
        <v>503</v>
      </c>
      <c r="AD8" s="16" t="n">
        <f aca="false">COUNTIFS('Raw Data'!$I$2:$I$1001,"&lt;"&amp;AB8,'Raw Data'!$I$2:$I$1001,"&lt;&gt;")</f>
        <v>0</v>
      </c>
      <c r="AE8" s="16" t="n">
        <f aca="false">COUNTIFS('Raw Data'!$I$2:$I$1001,"&gt;"&amp;AC8,'Raw Data'!$I$2:$I$1001,"&lt;&gt;")</f>
        <v>175</v>
      </c>
      <c r="AF8" s="17" t="n">
        <f aca="false">(AD8+AE8)/COUNT('Raw Data'!$I$2:$I$1001)</f>
        <v>0.180972078593588</v>
      </c>
    </row>
    <row r="9" customFormat="false" ht="90.75" hidden="false" customHeight="true" outlineLevel="0" collapsed="false">
      <c r="A9" s="10" t="s">
        <v>1</v>
      </c>
      <c r="B9" s="10" t="s">
        <v>1136</v>
      </c>
      <c r="C9" s="10" t="s">
        <v>1137</v>
      </c>
      <c r="D9" s="10" t="s">
        <v>1137</v>
      </c>
      <c r="E9" s="10" t="str">
        <f aca="false" t="array" ref="E9:E9">INDEX(N2:N54,MATCH(MAX(O2:O54),O2:O54,0))</f>
        <v>USA</v>
      </c>
      <c r="F9" s="10" t="s">
        <v>1138</v>
      </c>
      <c r="G9" s="10" t="s">
        <v>1137</v>
      </c>
      <c r="H9" s="10" t="s">
        <v>1137</v>
      </c>
      <c r="I9" s="10" t="s">
        <v>1137</v>
      </c>
      <c r="J9" s="10" t="n">
        <f aca="false">(COUNTA(N2:N54)*(SUM(O2:O54)^2-SUMSQ(O2:O54)))/(SUM(O2:O54)^2*(COUNTA(N2:N54)-1))</f>
        <v>0.547901769230769</v>
      </c>
      <c r="K9" s="10" t="s">
        <v>1139</v>
      </c>
      <c r="L9" s="10" t="s">
        <v>1140</v>
      </c>
      <c r="M9" s="10"/>
      <c r="N9" s="11" t="s">
        <v>986</v>
      </c>
      <c r="O9" s="11" t="n">
        <f aca="false">COUNTIF('Raw Data'!$B$2:$B$1001,N9)</f>
        <v>1</v>
      </c>
      <c r="P9" s="11" t="n">
        <f aca="false">RANK(O9,$O$2:$O$54,0)+COUNTIF($O$2:O9,O9)-1</f>
        <v>31</v>
      </c>
      <c r="Q9" s="11" t="s">
        <v>169</v>
      </c>
      <c r="R9" s="11" t="n">
        <f aca="false">COUNTIF('Raw Data'!$C$2:$C$1001,Q9)</f>
        <v>1</v>
      </c>
      <c r="S9" s="11" t="n">
        <f aca="false">RANK(R9,$R$2:$R$13,0)+COUNTIF($R$2:R9,R9)-1</f>
        <v>12</v>
      </c>
      <c r="T9" s="11" t="s">
        <v>379</v>
      </c>
      <c r="U9" s="11" t="n">
        <f aca="false">COUNTIF('Raw Data'!$D$2:$D$1001,T9)</f>
        <v>2</v>
      </c>
      <c r="V9" s="8" t="n">
        <f aca="false">RANK(U9,$U$2:$U$18,0)+COUNTIF($U$2:U9,U9)-1</f>
        <v>12</v>
      </c>
    </row>
    <row r="10" customFormat="false" ht="90.75" hidden="false" customHeight="true" outlineLevel="0" collapsed="false">
      <c r="A10" s="10" t="s">
        <v>2</v>
      </c>
      <c r="B10" s="10" t="s">
        <v>1136</v>
      </c>
      <c r="C10" s="10" t="s">
        <v>1137</v>
      </c>
      <c r="D10" s="10" t="s">
        <v>1137</v>
      </c>
      <c r="E10" s="10" t="str">
        <f aca="false" t="array" ref="E10:E10">INDEX(Q2:Q13,MATCH(MAX(R2:R13),R2:R13,0))</f>
        <v>Commercial</v>
      </c>
      <c r="F10" s="10" t="s">
        <v>1138</v>
      </c>
      <c r="G10" s="10" t="s">
        <v>1137</v>
      </c>
      <c r="H10" s="10" t="s">
        <v>1137</v>
      </c>
      <c r="I10" s="10" t="s">
        <v>1137</v>
      </c>
      <c r="J10" s="10" t="n">
        <f aca="false">(COUNTA(Q2:Q13)*(SUM(R2:R13)^2-SUMSQ(R2:R13)))/(SUM(R2:R13)^2*(COUNTA(Q2:Q13)-1))</f>
        <v>0.401275636363636</v>
      </c>
      <c r="K10" s="10" t="s">
        <v>1139</v>
      </c>
      <c r="L10" s="10" t="s">
        <v>1141</v>
      </c>
      <c r="M10" s="10"/>
      <c r="N10" s="11" t="s">
        <v>186</v>
      </c>
      <c r="O10" s="11" t="n">
        <f aca="false">COUNTIF('Raw Data'!$B$2:$B$1001,N10)</f>
        <v>11</v>
      </c>
      <c r="P10" s="11" t="n">
        <f aca="false">RANK(O10,$O$2:$O$54,0)+COUNTIF($O$2:O10,O10)-1</f>
        <v>5</v>
      </c>
      <c r="Q10" s="11" t="s">
        <v>21</v>
      </c>
      <c r="R10" s="11" t="n">
        <f aca="false">COUNTIF('Raw Data'!$C$2:$C$1001,Q10)</f>
        <v>58</v>
      </c>
      <c r="S10" s="11" t="n">
        <f aca="false">RANK(R10,$R$2:$R$13,0)+COUNTIF($R$2:R10,R10)-1</f>
        <v>3</v>
      </c>
      <c r="T10" s="11" t="s">
        <v>882</v>
      </c>
      <c r="U10" s="11" t="n">
        <f aca="false">COUNTIF('Raw Data'!$D$2:$D$1001,T10)</f>
        <v>1</v>
      </c>
      <c r="V10" s="8" t="n">
        <f aca="false">RANK(U10,$U$2:$U$18,0)+COUNTIF($U$2:U10,U10)-1</f>
        <v>15</v>
      </c>
    </row>
    <row r="11" customFormat="false" ht="90.75" hidden="false" customHeight="true" outlineLevel="0" collapsed="false">
      <c r="A11" s="10" t="s">
        <v>3</v>
      </c>
      <c r="B11" s="10" t="s">
        <v>1136</v>
      </c>
      <c r="C11" s="10" t="s">
        <v>1137</v>
      </c>
      <c r="D11" s="10" t="s">
        <v>1137</v>
      </c>
      <c r="E11" s="10" t="str">
        <f aca="false" t="array" ref="E11:E11">INDEX(T2:T18,MATCH(MAX(U2:U18),U2:U18,0))</f>
        <v>Communications</v>
      </c>
      <c r="F11" s="10" t="s">
        <v>1138</v>
      </c>
      <c r="G11" s="10" t="s">
        <v>1137</v>
      </c>
      <c r="H11" s="10" t="s">
        <v>1137</v>
      </c>
      <c r="I11" s="10" t="s">
        <v>1137</v>
      </c>
      <c r="J11" s="10" t="n">
        <f aca="false">(COUNTA(T2:T18)*(SUM(U2:U18)^2-SUMSQ(U2:U18)))/(SUM(U2:U18)^2*(COUNTA(T2:T18)-1))</f>
        <v>0.4997915</v>
      </c>
      <c r="K11" s="10" t="s">
        <v>1139</v>
      </c>
      <c r="L11" s="10" t="s">
        <v>1142</v>
      </c>
      <c r="M11" s="10"/>
      <c r="N11" s="11" t="s">
        <v>52</v>
      </c>
      <c r="O11" s="11" t="n">
        <f aca="false">COUNTIF('Raw Data'!$B$2:$B$1001,N11)</f>
        <v>77</v>
      </c>
      <c r="P11" s="11" t="n">
        <f aca="false">RANK(O11,$O$2:$O$54,0)+COUNTIF($O$2:O11,O11)-1</f>
        <v>3</v>
      </c>
      <c r="Q11" s="11" t="s">
        <v>390</v>
      </c>
      <c r="R11" s="11" t="n">
        <f aca="false">COUNTIF('Raw Data'!$C$2:$C$1001,Q11)</f>
        <v>2</v>
      </c>
      <c r="S11" s="11" t="n">
        <f aca="false">RANK(R11,$R$2:$R$13,0)+COUNTIF($R$2:R11,R11)-1</f>
        <v>9</v>
      </c>
      <c r="T11" s="11" t="s">
        <v>48</v>
      </c>
      <c r="U11" s="11" t="n">
        <f aca="false">COUNTIF('Raw Data'!$D$2:$D$1001,T11)</f>
        <v>20</v>
      </c>
      <c r="V11" s="8" t="n">
        <f aca="false">RANK(U11,$U$2:$U$18,0)+COUNTIF($U$2:U11,U11)-1</f>
        <v>4</v>
      </c>
    </row>
    <row r="12" customFormat="false" ht="57" hidden="false" customHeight="true" outlineLevel="0" collapsed="false">
      <c r="A12" s="10"/>
      <c r="B12" s="10"/>
      <c r="C12" s="10"/>
      <c r="D12" s="10"/>
      <c r="E12" s="10"/>
      <c r="F12" s="10"/>
      <c r="G12" s="10"/>
      <c r="H12" s="10"/>
      <c r="I12" s="10"/>
      <c r="J12" s="10"/>
      <c r="K12" s="10"/>
      <c r="L12" s="10"/>
      <c r="M12" s="10"/>
      <c r="N12" s="11" t="s">
        <v>181</v>
      </c>
      <c r="O12" s="11" t="n">
        <f aca="false">COUNTIF('Raw Data'!$B$2:$B$1001,N12)</f>
        <v>7</v>
      </c>
      <c r="P12" s="11" t="n">
        <f aca="false">RANK(O12,$O$2:$O$54,0)+COUNTIF($O$2:O12,O12)-1</f>
        <v>11</v>
      </c>
      <c r="Q12" s="11" t="s">
        <v>47</v>
      </c>
      <c r="R12" s="11" t="n">
        <f aca="false">COUNTIF('Raw Data'!$C$2:$C$1001,Q12)</f>
        <v>12</v>
      </c>
      <c r="S12" s="11" t="n">
        <f aca="false">RANK(R12,$R$2:$R$13,0)+COUNTIF($R$2:R12,R12)-1</f>
        <v>6</v>
      </c>
      <c r="T12" s="11" t="s">
        <v>38</v>
      </c>
      <c r="U12" s="11" t="n">
        <f aca="false">COUNTIF('Raw Data'!$D$2:$D$1001,T12)</f>
        <v>3</v>
      </c>
      <c r="V12" s="8" t="n">
        <f aca="false">RANK(U12,$U$2:$U$18,0)+COUNTIF($U$2:U12,U12)-1</f>
        <v>7</v>
      </c>
    </row>
    <row r="13" customFormat="false" ht="34.5" hidden="false" customHeight="true" outlineLevel="0" collapsed="false">
      <c r="A13" s="10"/>
      <c r="B13" s="10"/>
      <c r="C13" s="10"/>
      <c r="D13" s="10"/>
      <c r="E13" s="10"/>
      <c r="F13" s="10"/>
      <c r="G13" s="10"/>
      <c r="H13" s="10"/>
      <c r="I13" s="10"/>
      <c r="J13" s="10"/>
      <c r="K13" s="10"/>
      <c r="L13" s="10"/>
      <c r="M13" s="10"/>
      <c r="N13" s="11" t="s">
        <v>974</v>
      </c>
      <c r="O13" s="11" t="n">
        <f aca="false">COUNTIF('Raw Data'!$B$2:$B$1001,N13)</f>
        <v>1</v>
      </c>
      <c r="P13" s="11" t="n">
        <f aca="false">RANK(O13,$O$2:$O$54,0)+COUNTIF($O$2:O13,O13)-1</f>
        <v>32</v>
      </c>
      <c r="Q13" s="11" t="s">
        <v>354</v>
      </c>
      <c r="R13" s="11" t="n">
        <f aca="false">COUNTIF('Raw Data'!$C$2:$C$1001,Q13)</f>
        <v>6</v>
      </c>
      <c r="S13" s="11" t="n">
        <f aca="false">RANK(R13,$R$2:$R$13,0)+COUNTIF($R$2:R13,R13)-1</f>
        <v>8</v>
      </c>
      <c r="T13" s="11" t="s">
        <v>568</v>
      </c>
      <c r="U13" s="11" t="n">
        <f aca="false">COUNTIF('Raw Data'!$D$2:$D$1001,T13)</f>
        <v>1</v>
      </c>
      <c r="V13" s="8" t="n">
        <f aca="false">RANK(U13,$U$2:$U$18,0)+COUNTIF($U$2:U13,U13)-1</f>
        <v>16</v>
      </c>
    </row>
    <row r="14" customFormat="false" ht="23.25" hidden="false" customHeight="true" outlineLevel="0" collapsed="false">
      <c r="A14" s="10"/>
      <c r="B14" s="10"/>
      <c r="C14" s="10"/>
      <c r="D14" s="10"/>
      <c r="E14" s="10"/>
      <c r="F14" s="10"/>
      <c r="G14" s="10"/>
      <c r="H14" s="10"/>
      <c r="I14" s="10"/>
      <c r="J14" s="10"/>
      <c r="K14" s="10"/>
      <c r="L14" s="10"/>
      <c r="M14" s="10"/>
      <c r="N14" s="11" t="s">
        <v>224</v>
      </c>
      <c r="O14" s="11" t="n">
        <f aca="false">COUNTIF('Raw Data'!$B$2:$B$1001,N14)</f>
        <v>3</v>
      </c>
      <c r="P14" s="11" t="n">
        <f aca="false">RANK(O14,$O$2:$O$54,0)+COUNTIF($O$2:O14,O14)-1</f>
        <v>17</v>
      </c>
      <c r="Q14" s="11"/>
      <c r="R14" s="11"/>
      <c r="S14" s="11"/>
      <c r="T14" s="11" t="s">
        <v>98</v>
      </c>
      <c r="U14" s="11" t="n">
        <f aca="false">COUNTIF('Raw Data'!$D$2:$D$1001,T14)</f>
        <v>18</v>
      </c>
      <c r="V14" s="8" t="n">
        <f aca="false">RANK(U14,$U$2:$U$18,0)+COUNTIF($U$2:U14,U14)-1</f>
        <v>5</v>
      </c>
    </row>
    <row r="15" customFormat="false" ht="23.25" hidden="false" customHeight="true" outlineLevel="0" collapsed="false">
      <c r="A15" s="10"/>
      <c r="B15" s="10"/>
      <c r="C15" s="10"/>
      <c r="D15" s="10"/>
      <c r="E15" s="10"/>
      <c r="F15" s="10"/>
      <c r="G15" s="10"/>
      <c r="H15" s="10"/>
      <c r="I15" s="10"/>
      <c r="J15" s="10"/>
      <c r="K15" s="10"/>
      <c r="L15" s="10"/>
      <c r="M15" s="10"/>
      <c r="N15" s="11" t="s">
        <v>17</v>
      </c>
      <c r="O15" s="11" t="n">
        <f aca="false">COUNTIF('Raw Data'!$B$2:$B$1001,N15)</f>
        <v>4</v>
      </c>
      <c r="P15" s="11" t="n">
        <f aca="false">RANK(O15,$O$2:$O$54,0)+COUNTIF($O$2:O15,O15)-1</f>
        <v>15</v>
      </c>
      <c r="Q15" s="11"/>
      <c r="R15" s="11"/>
      <c r="S15" s="11"/>
      <c r="T15" s="11" t="s">
        <v>281</v>
      </c>
      <c r="U15" s="11" t="n">
        <f aca="false">COUNTIF('Raw Data'!$D$2:$D$1001,T15)</f>
        <v>3</v>
      </c>
      <c r="V15" s="8" t="n">
        <f aca="false">RANK(U15,$U$2:$U$18,0)+COUNTIF($U$2:U15,U15)-1</f>
        <v>8</v>
      </c>
    </row>
    <row r="16" customFormat="false" ht="45.75" hidden="false" customHeight="true" outlineLevel="0" collapsed="false">
      <c r="A16" s="10"/>
      <c r="B16" s="10"/>
      <c r="C16" s="10"/>
      <c r="D16" s="10"/>
      <c r="E16" s="10"/>
      <c r="F16" s="10"/>
      <c r="G16" s="10"/>
      <c r="H16" s="10"/>
      <c r="I16" s="10"/>
      <c r="J16" s="10"/>
      <c r="K16" s="10"/>
      <c r="L16" s="10"/>
      <c r="M16" s="10"/>
      <c r="N16" s="11" t="s">
        <v>60</v>
      </c>
      <c r="O16" s="11" t="n">
        <f aca="false">COUNTIF('Raw Data'!$B$2:$B$1001,N16)</f>
        <v>1</v>
      </c>
      <c r="P16" s="11" t="n">
        <f aca="false">RANK(O16,$O$2:$O$54,0)+COUNTIF($O$2:O16,O16)-1</f>
        <v>33</v>
      </c>
      <c r="Q16" s="11"/>
      <c r="R16" s="11"/>
      <c r="S16" s="11"/>
      <c r="T16" s="11" t="s">
        <v>161</v>
      </c>
      <c r="U16" s="11" t="n">
        <f aca="false">COUNTIF('Raw Data'!$D$2:$D$1001,T16)</f>
        <v>12</v>
      </c>
      <c r="V16" s="8" t="n">
        <f aca="false">RANK(U16,$U$2:$U$18,0)+COUNTIF($U$2:U16,U16)-1</f>
        <v>6</v>
      </c>
    </row>
    <row r="17" customFormat="false" ht="45.75" hidden="false" customHeight="true" outlineLevel="0" collapsed="false">
      <c r="A17" s="10"/>
      <c r="B17" s="10"/>
      <c r="C17" s="10"/>
      <c r="D17" s="10"/>
      <c r="E17" s="10"/>
      <c r="F17" s="10"/>
      <c r="G17" s="10"/>
      <c r="H17" s="10"/>
      <c r="I17" s="10"/>
      <c r="J17" s="10"/>
      <c r="K17" s="10"/>
      <c r="L17" s="10"/>
      <c r="M17" s="10"/>
      <c r="N17" s="11" t="s">
        <v>1051</v>
      </c>
      <c r="O17" s="11" t="n">
        <f aca="false">COUNTIF('Raw Data'!$B$2:$B$1001,N17)</f>
        <v>1</v>
      </c>
      <c r="P17" s="11" t="n">
        <f aca="false">RANK(O17,$O$2:$O$54,0)+COUNTIF($O$2:O17,O17)-1</f>
        <v>34</v>
      </c>
      <c r="Q17" s="11"/>
      <c r="R17" s="11"/>
      <c r="S17" s="11"/>
      <c r="T17" s="11" t="s">
        <v>58</v>
      </c>
      <c r="U17" s="11" t="n">
        <f aca="false">COUNTIF('Raw Data'!$D$2:$D$1001,T17)</f>
        <v>53</v>
      </c>
      <c r="V17" s="8" t="n">
        <f aca="false">RANK(U17,$U$2:$U$18,0)+COUNTIF($U$2:U17,U17)-1</f>
        <v>3</v>
      </c>
    </row>
    <row r="18" customFormat="false" ht="15" hidden="false" customHeight="true" outlineLevel="0" collapsed="false">
      <c r="A18" s="10"/>
      <c r="B18" s="10"/>
      <c r="C18" s="10"/>
      <c r="D18" s="10"/>
      <c r="E18" s="10"/>
      <c r="F18" s="10"/>
      <c r="G18" s="10"/>
      <c r="H18" s="10"/>
      <c r="I18" s="10"/>
      <c r="J18" s="10"/>
      <c r="K18" s="10"/>
      <c r="L18" s="10"/>
      <c r="M18" s="10"/>
      <c r="N18" s="11" t="s">
        <v>96</v>
      </c>
      <c r="O18" s="11" t="n">
        <f aca="false">COUNTIF('Raw Data'!$B$2:$B$1001,N18)</f>
        <v>5</v>
      </c>
      <c r="P18" s="11" t="n">
        <f aca="false">RANK(O18,$O$2:$O$54,0)+COUNTIF($O$2:O18,O18)-1</f>
        <v>12</v>
      </c>
      <c r="Q18" s="11"/>
      <c r="R18" s="11"/>
      <c r="S18" s="11"/>
      <c r="T18" s="11" t="s">
        <v>902</v>
      </c>
      <c r="U18" s="11" t="n">
        <f aca="false">COUNTIF('Raw Data'!$D$2:$D$1001,T18)</f>
        <v>1</v>
      </c>
      <c r="V18" s="8" t="n">
        <f aca="false">RANK(U18,$U$2:$U$18,0)+COUNTIF($U$2:U18,U18)-1</f>
        <v>17</v>
      </c>
    </row>
    <row r="19" customFormat="false" ht="15" hidden="false" customHeight="true" outlineLevel="0" collapsed="false">
      <c r="A19" s="10"/>
      <c r="B19" s="10"/>
      <c r="C19" s="10"/>
      <c r="D19" s="10"/>
      <c r="E19" s="10"/>
      <c r="F19" s="10"/>
      <c r="G19" s="10"/>
      <c r="H19" s="10"/>
      <c r="I19" s="10"/>
      <c r="J19" s="10"/>
      <c r="K19" s="10"/>
      <c r="L19" s="10"/>
      <c r="M19" s="10"/>
      <c r="N19" s="11" t="s">
        <v>36</v>
      </c>
      <c r="O19" s="11" t="n">
        <f aca="false">COUNTIF('Raw Data'!$B$2:$B$1001,N19)</f>
        <v>11</v>
      </c>
      <c r="P19" s="11" t="n">
        <f aca="false">RANK(O19,$O$2:$O$54,0)+COUNTIF($O$2:O19,O19)-1</f>
        <v>6</v>
      </c>
      <c r="Q19" s="11"/>
      <c r="R19" s="11"/>
      <c r="S19" s="11"/>
      <c r="T19" s="11"/>
      <c r="U19" s="11"/>
      <c r="V19" s="8"/>
    </row>
    <row r="20" customFormat="false" ht="15" hidden="false" customHeight="true" outlineLevel="0" collapsed="false">
      <c r="A20" s="10"/>
      <c r="B20" s="10"/>
      <c r="C20" s="10"/>
      <c r="D20" s="10"/>
      <c r="E20" s="10"/>
      <c r="F20" s="10"/>
      <c r="G20" s="10"/>
      <c r="H20" s="10"/>
      <c r="I20" s="10"/>
      <c r="J20" s="10"/>
      <c r="K20" s="10"/>
      <c r="L20" s="10"/>
      <c r="M20" s="10"/>
      <c r="N20" s="11" t="s">
        <v>710</v>
      </c>
      <c r="O20" s="11" t="n">
        <f aca="false">COUNTIF('Raw Data'!$B$2:$B$1001,N20)</f>
        <v>1</v>
      </c>
      <c r="P20" s="11" t="n">
        <f aca="false">RANK(O20,$O$2:$O$54,0)+COUNTIF($O$2:O20,O20)-1</f>
        <v>35</v>
      </c>
      <c r="Q20" s="11"/>
      <c r="R20" s="11"/>
      <c r="S20" s="11"/>
      <c r="T20" s="11"/>
      <c r="U20" s="11"/>
      <c r="V20" s="8"/>
    </row>
    <row r="21" customFormat="false" ht="15.75" hidden="false" customHeight="true" outlineLevel="0" collapsed="false">
      <c r="A21" s="10"/>
      <c r="B21" s="10"/>
      <c r="C21" s="10"/>
      <c r="D21" s="10"/>
      <c r="E21" s="10"/>
      <c r="F21" s="10"/>
      <c r="G21" s="10"/>
      <c r="H21" s="10"/>
      <c r="I21" s="10"/>
      <c r="J21" s="10"/>
      <c r="K21" s="10"/>
      <c r="L21" s="10"/>
      <c r="M21" s="10"/>
      <c r="N21" s="11" t="s">
        <v>539</v>
      </c>
      <c r="O21" s="11" t="n">
        <f aca="false">COUNTIF('Raw Data'!$B$2:$B$1001,N21)</f>
        <v>2</v>
      </c>
      <c r="P21" s="11" t="n">
        <f aca="false">RANK(O21,$O$2:$O$54,0)+COUNTIF($O$2:O21,O21)-1</f>
        <v>22</v>
      </c>
      <c r="Q21" s="11"/>
      <c r="R21" s="11"/>
      <c r="S21" s="11"/>
      <c r="T21" s="11"/>
      <c r="U21" s="11"/>
      <c r="V21" s="8"/>
    </row>
    <row r="22" customFormat="false" ht="15.75" hidden="false" customHeight="true" outlineLevel="0" collapsed="false">
      <c r="A22" s="10"/>
      <c r="B22" s="10"/>
      <c r="C22" s="10"/>
      <c r="D22" s="10"/>
      <c r="E22" s="10"/>
      <c r="F22" s="10"/>
      <c r="G22" s="10"/>
      <c r="H22" s="10"/>
      <c r="I22" s="10"/>
      <c r="J22" s="10"/>
      <c r="K22" s="10"/>
      <c r="L22" s="10"/>
      <c r="M22" s="10"/>
      <c r="N22" s="11" t="s">
        <v>587</v>
      </c>
      <c r="O22" s="11" t="n">
        <f aca="false">COUNTIF('Raw Data'!$B$2:$B$1001,N22)</f>
        <v>3</v>
      </c>
      <c r="P22" s="11" t="n">
        <f aca="false">RANK(O22,$O$2:$O$54,0)+COUNTIF($O$2:O22,O22)-1</f>
        <v>18</v>
      </c>
      <c r="Q22" s="11"/>
      <c r="R22" s="11"/>
      <c r="S22" s="11"/>
      <c r="T22" s="11"/>
      <c r="U22" s="11"/>
      <c r="V22" s="8"/>
    </row>
    <row r="23" customFormat="false" ht="15.75" hidden="false" customHeight="true" outlineLevel="0" collapsed="false">
      <c r="A23" s="10"/>
      <c r="B23" s="10"/>
      <c r="C23" s="10"/>
      <c r="D23" s="10"/>
      <c r="E23" s="10"/>
      <c r="F23" s="10"/>
      <c r="G23" s="10"/>
      <c r="H23" s="10"/>
      <c r="I23" s="10"/>
      <c r="J23" s="10"/>
      <c r="K23" s="10"/>
      <c r="L23" s="10"/>
      <c r="M23" s="10"/>
      <c r="N23" s="11" t="s">
        <v>71</v>
      </c>
      <c r="O23" s="11" t="n">
        <f aca="false">COUNTIF('Raw Data'!$B$2:$B$1001,N23)</f>
        <v>11</v>
      </c>
      <c r="P23" s="11" t="n">
        <f aca="false">RANK(O23,$O$2:$O$54,0)+COUNTIF($O$2:O23,O23)-1</f>
        <v>7</v>
      </c>
      <c r="Q23" s="11"/>
      <c r="R23" s="11"/>
      <c r="S23" s="11"/>
      <c r="T23" s="11"/>
      <c r="U23" s="11"/>
      <c r="V23" s="8"/>
    </row>
    <row r="24" customFormat="false" ht="15.75" hidden="false" customHeight="true" outlineLevel="0" collapsed="false">
      <c r="A24" s="10"/>
      <c r="B24" s="10"/>
      <c r="C24" s="10"/>
      <c r="D24" s="10"/>
      <c r="E24" s="10"/>
      <c r="F24" s="10"/>
      <c r="G24" s="10"/>
      <c r="H24" s="10"/>
      <c r="I24" s="10"/>
      <c r="J24" s="10"/>
      <c r="K24" s="10"/>
      <c r="L24" s="10"/>
      <c r="M24" s="10"/>
      <c r="N24" s="11" t="s">
        <v>487</v>
      </c>
      <c r="O24" s="11" t="n">
        <f aca="false">COUNTIF('Raw Data'!$B$2:$B$1001,N24)</f>
        <v>1</v>
      </c>
      <c r="P24" s="11" t="n">
        <f aca="false">RANK(O24,$O$2:$O$54,0)+COUNTIF($O$2:O24,O24)-1</f>
        <v>36</v>
      </c>
      <c r="Q24" s="11"/>
      <c r="R24" s="11"/>
      <c r="S24" s="11"/>
      <c r="T24" s="11"/>
      <c r="U24" s="11"/>
      <c r="V24" s="8"/>
    </row>
    <row r="25" customFormat="false" ht="15.75" hidden="false" customHeight="true" outlineLevel="0" collapsed="false">
      <c r="A25" s="10"/>
      <c r="B25" s="10"/>
      <c r="C25" s="10"/>
      <c r="D25" s="10"/>
      <c r="E25" s="10"/>
      <c r="F25" s="10"/>
      <c r="G25" s="10"/>
      <c r="H25" s="10"/>
      <c r="I25" s="10"/>
      <c r="J25" s="10"/>
      <c r="K25" s="10"/>
      <c r="L25" s="10"/>
      <c r="M25" s="10"/>
      <c r="N25" s="11" t="s">
        <v>555</v>
      </c>
      <c r="O25" s="11" t="n">
        <f aca="false">COUNTIF('Raw Data'!$B$2:$B$1001,N25)</f>
        <v>1</v>
      </c>
      <c r="P25" s="11" t="n">
        <f aca="false">RANK(O25,$O$2:$O$54,0)+COUNTIF($O$2:O25,O25)-1</f>
        <v>37</v>
      </c>
      <c r="Q25" s="11"/>
      <c r="R25" s="11"/>
      <c r="S25" s="11"/>
      <c r="T25" s="11"/>
      <c r="U25" s="11"/>
      <c r="V25" s="8"/>
    </row>
    <row r="26" customFormat="false" ht="15.75" hidden="false" customHeight="true" outlineLevel="0" collapsed="false">
      <c r="A26" s="10"/>
      <c r="B26" s="10"/>
      <c r="C26" s="10"/>
      <c r="D26" s="10"/>
      <c r="E26" s="10"/>
      <c r="F26" s="10"/>
      <c r="G26" s="10"/>
      <c r="H26" s="10"/>
      <c r="I26" s="10"/>
      <c r="J26" s="10"/>
      <c r="K26" s="10"/>
      <c r="L26" s="10"/>
      <c r="M26" s="10"/>
      <c r="N26" s="11" t="s">
        <v>1081</v>
      </c>
      <c r="O26" s="11" t="n">
        <f aca="false">COUNTIF('Raw Data'!$B$2:$B$1001,N26)</f>
        <v>1</v>
      </c>
      <c r="P26" s="11" t="n">
        <f aca="false">RANK(O26,$O$2:$O$54,0)+COUNTIF($O$2:O26,O26)-1</f>
        <v>38</v>
      </c>
      <c r="Q26" s="11"/>
      <c r="R26" s="11"/>
      <c r="S26" s="11"/>
      <c r="T26" s="11"/>
      <c r="U26" s="11"/>
      <c r="V26" s="8"/>
    </row>
    <row r="27" customFormat="false" ht="15.75" hidden="false" customHeight="true" outlineLevel="0" collapsed="false">
      <c r="A27" s="10"/>
      <c r="B27" s="10"/>
      <c r="C27" s="10"/>
      <c r="D27" s="10"/>
      <c r="E27" s="10"/>
      <c r="F27" s="10"/>
      <c r="G27" s="10"/>
      <c r="H27" s="10"/>
      <c r="I27" s="10"/>
      <c r="J27" s="10"/>
      <c r="K27" s="10"/>
      <c r="L27" s="10"/>
      <c r="M27" s="10"/>
      <c r="N27" s="11" t="s">
        <v>402</v>
      </c>
      <c r="O27" s="11" t="n">
        <f aca="false">COUNTIF('Raw Data'!$B$2:$B$1001,N27)</f>
        <v>1</v>
      </c>
      <c r="P27" s="11" t="n">
        <f aca="false">RANK(O27,$O$2:$O$54,0)+COUNTIF($O$2:O27,O27)-1</f>
        <v>39</v>
      </c>
      <c r="Q27" s="11"/>
      <c r="R27" s="11"/>
      <c r="S27" s="11"/>
      <c r="T27" s="11"/>
      <c r="U27" s="11"/>
      <c r="V27" s="8"/>
    </row>
    <row r="28" customFormat="false" ht="15.75" hidden="false" customHeight="true" outlineLevel="0" collapsed="false">
      <c r="A28" s="10"/>
      <c r="B28" s="10"/>
      <c r="C28" s="10"/>
      <c r="D28" s="10"/>
      <c r="E28" s="10"/>
      <c r="F28" s="10"/>
      <c r="G28" s="10"/>
      <c r="H28" s="10"/>
      <c r="I28" s="10"/>
      <c r="J28" s="10"/>
      <c r="K28" s="10"/>
      <c r="L28" s="10"/>
      <c r="M28" s="10"/>
      <c r="N28" s="11" t="s">
        <v>29</v>
      </c>
      <c r="O28" s="11" t="n">
        <f aca="false">COUNTIF('Raw Data'!$B$2:$B$1001,N28)</f>
        <v>8</v>
      </c>
      <c r="P28" s="11" t="n">
        <f aca="false">RANK(O28,$O$2:$O$54,0)+COUNTIF($O$2:O28,O28)-1</f>
        <v>10</v>
      </c>
      <c r="Q28" s="11"/>
      <c r="R28" s="11"/>
      <c r="S28" s="11"/>
      <c r="T28" s="11"/>
      <c r="U28" s="11"/>
      <c r="V28" s="8"/>
    </row>
    <row r="29" customFormat="false" ht="15.75" hidden="false" customHeight="true" outlineLevel="0" collapsed="false">
      <c r="A29" s="10"/>
      <c r="B29" s="10"/>
      <c r="C29" s="10"/>
      <c r="D29" s="10"/>
      <c r="E29" s="10"/>
      <c r="F29" s="10"/>
      <c r="G29" s="10"/>
      <c r="H29" s="10"/>
      <c r="I29" s="10"/>
      <c r="J29" s="10"/>
      <c r="K29" s="10"/>
      <c r="L29" s="10"/>
      <c r="M29" s="10"/>
      <c r="N29" s="11" t="s">
        <v>271</v>
      </c>
      <c r="O29" s="11" t="n">
        <f aca="false">COUNTIF('Raw Data'!$B$2:$B$1001,N29)</f>
        <v>3</v>
      </c>
      <c r="P29" s="11" t="n">
        <f aca="false">RANK(O29,$O$2:$O$54,0)+COUNTIF($O$2:O29,O29)-1</f>
        <v>19</v>
      </c>
      <c r="Q29" s="11"/>
      <c r="R29" s="11"/>
      <c r="S29" s="11"/>
      <c r="T29" s="11"/>
      <c r="U29" s="11"/>
      <c r="V29" s="8"/>
    </row>
    <row r="30" customFormat="false" ht="15.75" hidden="false" customHeight="true" outlineLevel="0" collapsed="false">
      <c r="A30" s="10"/>
      <c r="B30" s="10"/>
      <c r="C30" s="10"/>
      <c r="D30" s="10"/>
      <c r="E30" s="10"/>
      <c r="F30" s="10"/>
      <c r="G30" s="10"/>
      <c r="H30" s="10"/>
      <c r="I30" s="10"/>
      <c r="J30" s="10"/>
      <c r="K30" s="10"/>
      <c r="L30" s="10"/>
      <c r="M30" s="10"/>
      <c r="N30" s="11" t="s">
        <v>168</v>
      </c>
      <c r="O30" s="11" t="n">
        <f aca="false">COUNTIF('Raw Data'!$B$2:$B$1001,N30)</f>
        <v>2</v>
      </c>
      <c r="P30" s="11" t="n">
        <f aca="false">RANK(O30,$O$2:$O$54,0)+COUNTIF($O$2:O30,O30)-1</f>
        <v>23</v>
      </c>
      <c r="Q30" s="11"/>
      <c r="R30" s="11"/>
      <c r="S30" s="11"/>
      <c r="T30" s="11"/>
      <c r="U30" s="11"/>
      <c r="V30" s="8"/>
    </row>
    <row r="31" customFormat="false" ht="15.75" hidden="false" customHeight="true" outlineLevel="0" collapsed="false">
      <c r="A31" s="10"/>
      <c r="B31" s="10"/>
      <c r="C31" s="10"/>
      <c r="D31" s="10"/>
      <c r="E31" s="10"/>
      <c r="F31" s="10"/>
      <c r="G31" s="10"/>
      <c r="H31" s="10"/>
      <c r="I31" s="10"/>
      <c r="J31" s="10"/>
      <c r="K31" s="10"/>
      <c r="L31" s="10"/>
      <c r="M31" s="10"/>
      <c r="N31" s="11" t="s">
        <v>63</v>
      </c>
      <c r="O31" s="11" t="n">
        <f aca="false">COUNTIF('Raw Data'!$B$2:$B$1001,N31)</f>
        <v>10</v>
      </c>
      <c r="P31" s="11" t="n">
        <f aca="false">RANK(O31,$O$2:$O$54,0)+COUNTIF($O$2:O31,O31)-1</f>
        <v>8</v>
      </c>
      <c r="Q31" s="11"/>
      <c r="R31" s="11"/>
      <c r="S31" s="11"/>
      <c r="T31" s="11"/>
      <c r="U31" s="11"/>
      <c r="V31" s="8"/>
    </row>
    <row r="32" customFormat="false" ht="15.75" hidden="false" customHeight="true" outlineLevel="0" collapsed="false">
      <c r="A32" s="10"/>
      <c r="B32" s="10"/>
      <c r="C32" s="10"/>
      <c r="D32" s="10"/>
      <c r="E32" s="10"/>
      <c r="F32" s="10"/>
      <c r="G32" s="10"/>
      <c r="H32" s="10"/>
      <c r="I32" s="10"/>
      <c r="J32" s="10"/>
      <c r="K32" s="10"/>
      <c r="L32" s="10"/>
      <c r="M32" s="10"/>
      <c r="N32" s="11" t="s">
        <v>114</v>
      </c>
      <c r="O32" s="11" t="n">
        <f aca="false">COUNTIF('Raw Data'!$B$2:$B$1001,N32)</f>
        <v>1</v>
      </c>
      <c r="P32" s="11" t="n">
        <f aca="false">RANK(O32,$O$2:$O$54,0)+COUNTIF($O$2:O32,O32)-1</f>
        <v>40</v>
      </c>
      <c r="Q32" s="11"/>
      <c r="R32" s="11"/>
      <c r="S32" s="11"/>
      <c r="T32" s="11"/>
      <c r="U32" s="11"/>
      <c r="V32" s="8"/>
    </row>
    <row r="33" customFormat="false" ht="15.75" hidden="false" customHeight="true" outlineLevel="0" collapsed="false">
      <c r="A33" s="10"/>
      <c r="B33" s="10"/>
      <c r="C33" s="10"/>
      <c r="D33" s="10"/>
      <c r="E33" s="10"/>
      <c r="F33" s="10"/>
      <c r="G33" s="10"/>
      <c r="H33" s="10"/>
      <c r="I33" s="10"/>
      <c r="J33" s="10"/>
      <c r="K33" s="10"/>
      <c r="L33" s="10"/>
      <c r="M33" s="10"/>
      <c r="N33" s="11" t="s">
        <v>495</v>
      </c>
      <c r="O33" s="11" t="n">
        <f aca="false">COUNTIF('Raw Data'!$B$2:$B$1001,N33)</f>
        <v>1</v>
      </c>
      <c r="P33" s="11" t="n">
        <f aca="false">RANK(O33,$O$2:$O$54,0)+COUNTIF($O$2:O33,O33)-1</f>
        <v>41</v>
      </c>
      <c r="Q33" s="11"/>
      <c r="R33" s="11"/>
      <c r="S33" s="11"/>
      <c r="T33" s="11"/>
      <c r="U33" s="11"/>
      <c r="V33" s="8"/>
    </row>
    <row r="34" customFormat="false" ht="15.75" hidden="false" customHeight="true" outlineLevel="0" collapsed="false">
      <c r="A34" s="10"/>
      <c r="B34" s="10"/>
      <c r="C34" s="10"/>
      <c r="D34" s="10"/>
      <c r="E34" s="10"/>
      <c r="F34" s="10"/>
      <c r="G34" s="10"/>
      <c r="H34" s="10"/>
      <c r="I34" s="10"/>
      <c r="J34" s="10"/>
      <c r="K34" s="10"/>
      <c r="L34" s="10"/>
      <c r="M34" s="10"/>
      <c r="N34" s="11" t="s">
        <v>623</v>
      </c>
      <c r="O34" s="11" t="n">
        <f aca="false">COUNTIF('Raw Data'!$B$2:$B$1001,N34)</f>
        <v>1</v>
      </c>
      <c r="P34" s="11" t="n">
        <f aca="false">RANK(O34,$O$2:$O$54,0)+COUNTIF($O$2:O34,O34)-1</f>
        <v>42</v>
      </c>
      <c r="Q34" s="11"/>
      <c r="R34" s="11"/>
      <c r="S34" s="11"/>
      <c r="T34" s="11"/>
      <c r="U34" s="11"/>
      <c r="V34" s="8"/>
    </row>
    <row r="35" customFormat="false" ht="15.75" hidden="false" customHeight="true" outlineLevel="0" collapsed="false">
      <c r="A35" s="10"/>
      <c r="B35" s="10"/>
      <c r="C35" s="10"/>
      <c r="D35" s="10"/>
      <c r="E35" s="10"/>
      <c r="F35" s="10"/>
      <c r="G35" s="10"/>
      <c r="H35" s="10"/>
      <c r="I35" s="10"/>
      <c r="J35" s="10"/>
      <c r="K35" s="10"/>
      <c r="L35" s="10"/>
      <c r="M35" s="10"/>
      <c r="N35" s="11" t="s">
        <v>1070</v>
      </c>
      <c r="O35" s="11" t="n">
        <f aca="false">COUNTIF('Raw Data'!$B$2:$B$1001,N35)</f>
        <v>1</v>
      </c>
      <c r="P35" s="11" t="n">
        <f aca="false">RANK(O35,$O$2:$O$54,0)+COUNTIF($O$2:O35,O35)-1</f>
        <v>43</v>
      </c>
      <c r="Q35" s="11"/>
      <c r="R35" s="11"/>
      <c r="S35" s="11"/>
      <c r="T35" s="11"/>
      <c r="U35" s="11"/>
      <c r="V35" s="8"/>
    </row>
    <row r="36" customFormat="false" ht="15.75" hidden="false" customHeight="true" outlineLevel="0" collapsed="false">
      <c r="A36" s="10"/>
      <c r="B36" s="10"/>
      <c r="C36" s="10"/>
      <c r="D36" s="10"/>
      <c r="E36" s="10"/>
      <c r="F36" s="10"/>
      <c r="G36" s="10"/>
      <c r="H36" s="10"/>
      <c r="I36" s="10"/>
      <c r="J36" s="10"/>
      <c r="K36" s="10"/>
      <c r="L36" s="10"/>
      <c r="M36" s="10"/>
      <c r="N36" s="11" t="s">
        <v>150</v>
      </c>
      <c r="O36" s="11" t="n">
        <f aca="false">COUNTIF('Raw Data'!$B$2:$B$1001,N36)</f>
        <v>1</v>
      </c>
      <c r="P36" s="11" t="n">
        <f aca="false">RANK(O36,$O$2:$O$54,0)+COUNTIF($O$2:O36,O36)-1</f>
        <v>44</v>
      </c>
      <c r="Q36" s="11"/>
      <c r="R36" s="11"/>
      <c r="S36" s="11"/>
      <c r="T36" s="11"/>
      <c r="U36" s="11"/>
      <c r="V36" s="8"/>
    </row>
    <row r="37" customFormat="false" ht="15.75" hidden="false" customHeight="true" outlineLevel="0" collapsed="false">
      <c r="A37" s="10"/>
      <c r="B37" s="10"/>
      <c r="C37" s="10"/>
      <c r="D37" s="10"/>
      <c r="E37" s="10"/>
      <c r="F37" s="10"/>
      <c r="G37" s="10"/>
      <c r="H37" s="10"/>
      <c r="I37" s="10"/>
      <c r="J37" s="10"/>
      <c r="K37" s="10"/>
      <c r="L37" s="10"/>
      <c r="M37" s="10"/>
      <c r="N37" s="11" t="s">
        <v>20</v>
      </c>
      <c r="O37" s="11" t="n">
        <f aca="false">COUNTIF('Raw Data'!$B$2:$B$1001,N37)</f>
        <v>30</v>
      </c>
      <c r="P37" s="11" t="n">
        <f aca="false">RANK(O37,$O$2:$O$54,0)+COUNTIF($O$2:O37,O37)-1</f>
        <v>4</v>
      </c>
      <c r="Q37" s="11"/>
      <c r="R37" s="11"/>
      <c r="S37" s="11"/>
      <c r="T37" s="11"/>
      <c r="U37" s="11"/>
      <c r="V37" s="8"/>
    </row>
    <row r="38" customFormat="false" ht="15.75" hidden="false" customHeight="true" outlineLevel="0" collapsed="false">
      <c r="A38" s="10"/>
      <c r="B38" s="10"/>
      <c r="C38" s="10"/>
      <c r="D38" s="10"/>
      <c r="E38" s="10"/>
      <c r="F38" s="10"/>
      <c r="G38" s="10"/>
      <c r="H38" s="10"/>
      <c r="I38" s="10"/>
      <c r="J38" s="10"/>
      <c r="K38" s="10"/>
      <c r="L38" s="10"/>
      <c r="M38" s="10"/>
      <c r="N38" s="11" t="s">
        <v>551</v>
      </c>
      <c r="O38" s="11" t="n">
        <f aca="false">COUNTIF('Raw Data'!$B$2:$B$1001,N38)</f>
        <v>1</v>
      </c>
      <c r="P38" s="11" t="n">
        <f aca="false">RANK(O38,$O$2:$O$54,0)+COUNTIF($O$2:O38,O38)-1</f>
        <v>45</v>
      </c>
      <c r="Q38" s="11"/>
      <c r="R38" s="11"/>
      <c r="S38" s="11"/>
      <c r="T38" s="11"/>
      <c r="U38" s="11"/>
      <c r="V38" s="8"/>
    </row>
    <row r="39" customFormat="false" ht="15.75" hidden="false" customHeight="true" outlineLevel="0" collapsed="false">
      <c r="A39" s="10"/>
      <c r="B39" s="10"/>
      <c r="C39" s="10"/>
      <c r="D39" s="10"/>
      <c r="E39" s="10"/>
      <c r="F39" s="10"/>
      <c r="G39" s="10"/>
      <c r="H39" s="10"/>
      <c r="I39" s="10"/>
      <c r="J39" s="10"/>
      <c r="K39" s="10"/>
      <c r="L39" s="10"/>
      <c r="M39" s="10"/>
      <c r="N39" s="11" t="s">
        <v>786</v>
      </c>
      <c r="O39" s="11" t="n">
        <f aca="false">COUNTIF('Raw Data'!$B$2:$B$1001,N39)</f>
        <v>2</v>
      </c>
      <c r="P39" s="11" t="n">
        <f aca="false">RANK(O39,$O$2:$O$54,0)+COUNTIF($O$2:O39,O39)-1</f>
        <v>24</v>
      </c>
      <c r="Q39" s="11"/>
      <c r="R39" s="11"/>
      <c r="S39" s="11"/>
      <c r="T39" s="11"/>
      <c r="U39" s="11"/>
      <c r="V39" s="8"/>
    </row>
    <row r="40" customFormat="false" ht="15.75" hidden="false" customHeight="true" outlineLevel="0" collapsed="false">
      <c r="A40" s="10"/>
      <c r="B40" s="10"/>
      <c r="C40" s="10"/>
      <c r="D40" s="10"/>
      <c r="E40" s="10"/>
      <c r="F40" s="10"/>
      <c r="G40" s="10"/>
      <c r="H40" s="10"/>
      <c r="I40" s="10"/>
      <c r="J40" s="10"/>
      <c r="K40" s="10"/>
      <c r="L40" s="10"/>
      <c r="M40" s="10"/>
      <c r="N40" s="11" t="s">
        <v>767</v>
      </c>
      <c r="O40" s="11" t="n">
        <f aca="false">COUNTIF('Raw Data'!$B$2:$B$1001,N40)</f>
        <v>1</v>
      </c>
      <c r="P40" s="11" t="n">
        <f aca="false">RANK(O40,$O$2:$O$54,0)+COUNTIF($O$2:O40,O40)-1</f>
        <v>46</v>
      </c>
      <c r="Q40" s="11"/>
      <c r="R40" s="11"/>
      <c r="S40" s="11"/>
      <c r="T40" s="11"/>
      <c r="U40" s="11"/>
      <c r="V40" s="8"/>
    </row>
    <row r="41" customFormat="false" ht="15.75" hidden="false" customHeight="true" outlineLevel="0" collapsed="false">
      <c r="A41" s="10"/>
      <c r="B41" s="10"/>
      <c r="C41" s="10"/>
      <c r="D41" s="10"/>
      <c r="E41" s="10"/>
      <c r="F41" s="10"/>
      <c r="G41" s="10"/>
      <c r="H41" s="10"/>
      <c r="I41" s="10"/>
      <c r="J41" s="10"/>
      <c r="K41" s="10"/>
      <c r="L41" s="10"/>
      <c r="M41" s="10"/>
      <c r="N41" s="11" t="s">
        <v>432</v>
      </c>
      <c r="O41" s="11" t="n">
        <f aca="false">COUNTIF('Raw Data'!$B$2:$B$1001,N41)</f>
        <v>4</v>
      </c>
      <c r="P41" s="11" t="n">
        <f aca="false">RANK(O41,$O$2:$O$54,0)+COUNTIF($O$2:O41,O41)-1</f>
        <v>16</v>
      </c>
      <c r="Q41" s="11"/>
      <c r="R41" s="11"/>
      <c r="S41" s="11"/>
      <c r="T41" s="11"/>
      <c r="U41" s="11"/>
      <c r="V41" s="8"/>
    </row>
    <row r="42" customFormat="false" ht="15.75" hidden="false" customHeight="true" outlineLevel="0" collapsed="false">
      <c r="A42" s="10"/>
      <c r="B42" s="10"/>
      <c r="C42" s="10"/>
      <c r="D42" s="10"/>
      <c r="E42" s="10"/>
      <c r="F42" s="10"/>
      <c r="G42" s="10"/>
      <c r="H42" s="10"/>
      <c r="I42" s="10"/>
      <c r="J42" s="10"/>
      <c r="K42" s="10"/>
      <c r="L42" s="10"/>
      <c r="M42" s="10"/>
      <c r="N42" s="11" t="s">
        <v>192</v>
      </c>
      <c r="O42" s="11" t="n">
        <f aca="false">COUNTIF('Raw Data'!$B$2:$B$1001,N42)</f>
        <v>3</v>
      </c>
      <c r="P42" s="11" t="n">
        <f aca="false">RANK(O42,$O$2:$O$54,0)+COUNTIF($O$2:O42,O42)-1</f>
        <v>20</v>
      </c>
      <c r="Q42" s="11"/>
      <c r="R42" s="11"/>
      <c r="S42" s="11"/>
      <c r="T42" s="11"/>
      <c r="U42" s="11"/>
      <c r="V42" s="8"/>
    </row>
    <row r="43" customFormat="false" ht="15.75" hidden="false" customHeight="true" outlineLevel="0" collapsed="false">
      <c r="A43" s="10"/>
      <c r="B43" s="10"/>
      <c r="C43" s="10"/>
      <c r="D43" s="10"/>
      <c r="E43" s="10"/>
      <c r="F43" s="10"/>
      <c r="G43" s="10"/>
      <c r="H43" s="10"/>
      <c r="I43" s="10"/>
      <c r="J43" s="10"/>
      <c r="K43" s="10"/>
      <c r="L43" s="10"/>
      <c r="M43" s="10"/>
      <c r="N43" s="11" t="s">
        <v>464</v>
      </c>
      <c r="O43" s="11" t="n">
        <f aca="false">COUNTIF('Raw Data'!$B$2:$B$1001,N43)</f>
        <v>2</v>
      </c>
      <c r="P43" s="11" t="n">
        <f aca="false">RANK(O43,$O$2:$O$54,0)+COUNTIF($O$2:O43,O43)-1</f>
        <v>25</v>
      </c>
      <c r="Q43" s="11"/>
      <c r="R43" s="11"/>
      <c r="S43" s="11"/>
      <c r="T43" s="11"/>
      <c r="U43" s="11"/>
      <c r="V43" s="8"/>
    </row>
    <row r="44" customFormat="false" ht="15.75" hidden="false" customHeight="true" outlineLevel="0" collapsed="false">
      <c r="A44" s="10"/>
      <c r="B44" s="10"/>
      <c r="C44" s="10"/>
      <c r="D44" s="10"/>
      <c r="E44" s="10"/>
      <c r="F44" s="10"/>
      <c r="G44" s="10"/>
      <c r="H44" s="10"/>
      <c r="I44" s="10"/>
      <c r="J44" s="10"/>
      <c r="K44" s="10"/>
      <c r="L44" s="10"/>
      <c r="M44" s="10"/>
      <c r="N44" s="11" t="s">
        <v>582</v>
      </c>
      <c r="O44" s="11" t="n">
        <f aca="false">COUNTIF('Raw Data'!$B$2:$B$1001,N44)</f>
        <v>1</v>
      </c>
      <c r="P44" s="11" t="n">
        <f aca="false">RANK(O44,$O$2:$O$54,0)+COUNTIF($O$2:O44,O44)-1</f>
        <v>47</v>
      </c>
      <c r="Q44" s="11"/>
      <c r="R44" s="11"/>
      <c r="S44" s="11"/>
      <c r="T44" s="11"/>
      <c r="U44" s="11"/>
      <c r="V44" s="8"/>
    </row>
    <row r="45" customFormat="false" ht="15.75" hidden="false" customHeight="true" outlineLevel="0" collapsed="false">
      <c r="A45" s="10"/>
      <c r="B45" s="10"/>
      <c r="C45" s="10"/>
      <c r="D45" s="10"/>
      <c r="E45" s="10"/>
      <c r="F45" s="10"/>
      <c r="G45" s="10"/>
      <c r="H45" s="10"/>
      <c r="I45" s="10"/>
      <c r="J45" s="10"/>
      <c r="K45" s="10"/>
      <c r="L45" s="10"/>
      <c r="M45" s="10"/>
      <c r="N45" s="11" t="s">
        <v>347</v>
      </c>
      <c r="O45" s="11" t="n">
        <f aca="false">COUNTIF('Raw Data'!$B$2:$B$1001,N45)</f>
        <v>1</v>
      </c>
      <c r="P45" s="11" t="n">
        <f aca="false">RANK(O45,$O$2:$O$54,0)+COUNTIF($O$2:O45,O45)-1</f>
        <v>48</v>
      </c>
      <c r="Q45" s="11"/>
      <c r="R45" s="11"/>
      <c r="S45" s="11"/>
      <c r="T45" s="11"/>
      <c r="U45" s="11"/>
      <c r="V45" s="8"/>
    </row>
    <row r="46" customFormat="false" ht="15.75" hidden="false" customHeight="true" outlineLevel="0" collapsed="false">
      <c r="A46" s="10"/>
      <c r="B46" s="10"/>
      <c r="C46" s="10"/>
      <c r="D46" s="10"/>
      <c r="E46" s="10"/>
      <c r="F46" s="10"/>
      <c r="G46" s="10"/>
      <c r="H46" s="10"/>
      <c r="I46" s="10"/>
      <c r="J46" s="10"/>
      <c r="K46" s="10"/>
      <c r="L46" s="10"/>
      <c r="M46" s="10"/>
      <c r="N46" s="11" t="s">
        <v>134</v>
      </c>
      <c r="O46" s="11" t="n">
        <f aca="false">COUNTIF('Raw Data'!$B$2:$B$1001,N46)</f>
        <v>3</v>
      </c>
      <c r="P46" s="11" t="n">
        <f aca="false">RANK(O46,$O$2:$O$54,0)+COUNTIF($O$2:O46,O46)-1</f>
        <v>21</v>
      </c>
      <c r="Q46" s="11"/>
      <c r="R46" s="11"/>
      <c r="S46" s="11"/>
      <c r="T46" s="11"/>
      <c r="U46" s="11"/>
      <c r="V46" s="8"/>
    </row>
    <row r="47" customFormat="false" ht="15.75" hidden="false" customHeight="true" outlineLevel="0" collapsed="false">
      <c r="A47" s="10"/>
      <c r="B47" s="10"/>
      <c r="C47" s="10"/>
      <c r="D47" s="10"/>
      <c r="E47" s="10"/>
      <c r="F47" s="10"/>
      <c r="G47" s="10"/>
      <c r="H47" s="10"/>
      <c r="I47" s="10"/>
      <c r="J47" s="10"/>
      <c r="K47" s="10"/>
      <c r="L47" s="10"/>
      <c r="M47" s="10"/>
      <c r="N47" s="11" t="s">
        <v>12</v>
      </c>
      <c r="O47" s="11" t="n">
        <f aca="false">COUNTIF('Raw Data'!$B$2:$B$1001,N47)</f>
        <v>669</v>
      </c>
      <c r="P47" s="11" t="n">
        <f aca="false">RANK(O47,$O$2:$O$54,0)+COUNTIF($O$2:O47,O47)-1</f>
        <v>1</v>
      </c>
      <c r="Q47" s="11"/>
      <c r="R47" s="11"/>
      <c r="S47" s="11"/>
      <c r="T47" s="11"/>
      <c r="U47" s="11"/>
      <c r="V47" s="8"/>
    </row>
    <row r="48" customFormat="false" ht="15.75" hidden="false" customHeight="true" outlineLevel="0" collapsed="false">
      <c r="A48" s="10"/>
      <c r="B48" s="10"/>
      <c r="C48" s="10"/>
      <c r="D48" s="10"/>
      <c r="E48" s="10"/>
      <c r="F48" s="10"/>
      <c r="G48" s="10"/>
      <c r="H48" s="10"/>
      <c r="I48" s="10"/>
      <c r="J48" s="10"/>
      <c r="K48" s="10"/>
      <c r="L48" s="10"/>
      <c r="M48" s="10"/>
      <c r="N48" s="11" t="s">
        <v>420</v>
      </c>
      <c r="O48" s="11" t="n">
        <f aca="false">COUNTIF('Raw Data'!$B$2:$B$1001,N48)</f>
        <v>1</v>
      </c>
      <c r="P48" s="11" t="n">
        <f aca="false">RANK(O48,$O$2:$O$54,0)+COUNTIF($O$2:O48,O48)-1</f>
        <v>49</v>
      </c>
      <c r="Q48" s="11"/>
      <c r="R48" s="11"/>
      <c r="S48" s="11"/>
      <c r="T48" s="11"/>
      <c r="U48" s="11"/>
      <c r="V48" s="8"/>
    </row>
    <row r="49" customFormat="false" ht="15.75" hidden="false" customHeight="true" outlineLevel="0" collapsed="false">
      <c r="A49" s="10"/>
      <c r="B49" s="10"/>
      <c r="C49" s="10"/>
      <c r="D49" s="10"/>
      <c r="E49" s="10"/>
      <c r="F49" s="10"/>
      <c r="G49" s="10"/>
      <c r="H49" s="10"/>
      <c r="I49" s="10"/>
      <c r="J49" s="10"/>
      <c r="K49" s="10"/>
      <c r="L49" s="10"/>
      <c r="M49" s="10"/>
      <c r="N49" s="11" t="s">
        <v>698</v>
      </c>
      <c r="O49" s="11" t="n">
        <f aca="false">COUNTIF('Raw Data'!$B$2:$B$1001,N49)</f>
        <v>1</v>
      </c>
      <c r="P49" s="11" t="n">
        <f aca="false">RANK(O49,$O$2:$O$54,0)+COUNTIF($O$2:O49,O49)-1</f>
        <v>50</v>
      </c>
      <c r="Q49" s="11"/>
      <c r="R49" s="11"/>
      <c r="S49" s="11"/>
      <c r="T49" s="11"/>
      <c r="U49" s="11"/>
      <c r="V49" s="8"/>
    </row>
    <row r="50" customFormat="false" ht="15.75" hidden="false" customHeight="true" outlineLevel="0" collapsed="false">
      <c r="A50" s="10"/>
      <c r="B50" s="10"/>
      <c r="C50" s="10"/>
      <c r="D50" s="10"/>
      <c r="E50" s="10"/>
      <c r="F50" s="10"/>
      <c r="G50" s="10"/>
      <c r="H50" s="10"/>
      <c r="I50" s="10"/>
      <c r="J50" s="10"/>
      <c r="K50" s="10"/>
      <c r="L50" s="10"/>
      <c r="M50" s="10"/>
      <c r="N50" s="11" t="s">
        <v>330</v>
      </c>
      <c r="O50" s="11" t="n">
        <f aca="false">COUNTIF('Raw Data'!$B$2:$B$1001,N50)</f>
        <v>1</v>
      </c>
      <c r="P50" s="11" t="n">
        <f aca="false">RANK(O50,$O$2:$O$54,0)+COUNTIF($O$2:O50,O50)-1</f>
        <v>51</v>
      </c>
      <c r="Q50" s="11"/>
      <c r="R50" s="11"/>
      <c r="S50" s="11"/>
      <c r="T50" s="11"/>
      <c r="U50" s="11"/>
      <c r="V50" s="8"/>
    </row>
    <row r="51" customFormat="false" ht="15.75" hidden="false" customHeight="true" outlineLevel="0" collapsed="false">
      <c r="A51" s="10"/>
      <c r="B51" s="10"/>
      <c r="C51" s="10"/>
      <c r="D51" s="10"/>
      <c r="E51" s="10"/>
      <c r="F51" s="10"/>
      <c r="G51" s="10"/>
      <c r="H51" s="10"/>
      <c r="I51" s="10"/>
      <c r="J51" s="10"/>
      <c r="K51" s="10"/>
      <c r="L51" s="10"/>
      <c r="M51" s="10"/>
      <c r="N51" s="11" t="s">
        <v>645</v>
      </c>
      <c r="O51" s="11" t="n">
        <f aca="false">COUNTIF('Raw Data'!$B$2:$B$1001,N51)</f>
        <v>2</v>
      </c>
      <c r="P51" s="11" t="n">
        <f aca="false">RANK(O51,$O$2:$O$54,0)+COUNTIF($O$2:O51,O51)-1</f>
        <v>26</v>
      </c>
      <c r="Q51" s="11"/>
      <c r="R51" s="11"/>
      <c r="S51" s="11"/>
      <c r="T51" s="11"/>
      <c r="U51" s="11"/>
      <c r="V51" s="8"/>
    </row>
    <row r="52" customFormat="false" ht="15.75" hidden="false" customHeight="true" outlineLevel="0" collapsed="false">
      <c r="A52" s="10"/>
      <c r="B52" s="10"/>
      <c r="C52" s="10"/>
      <c r="D52" s="10"/>
      <c r="E52" s="10"/>
      <c r="F52" s="10"/>
      <c r="G52" s="10"/>
      <c r="H52" s="10"/>
      <c r="I52" s="10"/>
      <c r="J52" s="10"/>
      <c r="K52" s="10"/>
      <c r="L52" s="10"/>
      <c r="M52" s="10"/>
      <c r="N52" s="11" t="s">
        <v>683</v>
      </c>
      <c r="O52" s="11" t="n">
        <f aca="false">COUNTIF('Raw Data'!$B$2:$B$1001,N52)</f>
        <v>1</v>
      </c>
      <c r="P52" s="11" t="n">
        <f aca="false">RANK(O52,$O$2:$O$54,0)+COUNTIF($O$2:O52,O52)-1</f>
        <v>52</v>
      </c>
      <c r="Q52" s="11"/>
      <c r="R52" s="11"/>
      <c r="S52" s="11"/>
      <c r="T52" s="11"/>
      <c r="U52" s="11"/>
      <c r="V52" s="8"/>
    </row>
    <row r="53" customFormat="false" ht="15.75" hidden="false" customHeight="true" outlineLevel="0" collapsed="false">
      <c r="A53" s="10"/>
      <c r="B53" s="10"/>
      <c r="C53" s="10"/>
      <c r="D53" s="10"/>
      <c r="E53" s="10"/>
      <c r="F53" s="10"/>
      <c r="G53" s="10"/>
      <c r="H53" s="10"/>
      <c r="I53" s="10"/>
      <c r="J53" s="10"/>
      <c r="K53" s="10"/>
      <c r="L53" s="10"/>
      <c r="M53" s="10"/>
      <c r="N53" s="11" t="s">
        <v>23</v>
      </c>
      <c r="O53" s="11" t="n">
        <f aca="false">COUNTIF('Raw Data'!$B$2:$B$1001,N53)</f>
        <v>85</v>
      </c>
      <c r="P53" s="11" t="n">
        <f aca="false">RANK(O53,$O$2:$O$54,0)+COUNTIF($O$2:O53,O53)-1</f>
        <v>2</v>
      </c>
      <c r="Q53" s="11"/>
      <c r="R53" s="11"/>
      <c r="S53" s="11"/>
      <c r="T53" s="11"/>
      <c r="U53" s="11"/>
      <c r="V53" s="8"/>
    </row>
    <row r="54" customFormat="false" ht="15.75" hidden="false" customHeight="true" outlineLevel="0" collapsed="false">
      <c r="A54" s="10"/>
      <c r="B54" s="10"/>
      <c r="C54" s="10"/>
      <c r="D54" s="10"/>
      <c r="E54" s="10"/>
      <c r="F54" s="10"/>
      <c r="G54" s="10"/>
      <c r="H54" s="10"/>
      <c r="I54" s="10"/>
      <c r="J54" s="10"/>
      <c r="K54" s="10"/>
      <c r="L54" s="10"/>
      <c r="M54" s="10"/>
      <c r="N54" s="11" t="s">
        <v>118</v>
      </c>
      <c r="O54" s="11" t="n">
        <f aca="false">COUNTIF('Raw Data'!$B$2:$B$1001,N54)</f>
        <v>1</v>
      </c>
      <c r="P54" s="11" t="n">
        <f aca="false">RANK(O54,$O$2:$O$54,0)+COUNTIF($O$2:O54,O54)-1</f>
        <v>53</v>
      </c>
      <c r="Q54" s="11"/>
      <c r="R54" s="11"/>
      <c r="S54" s="11"/>
      <c r="T54" s="11"/>
      <c r="U54" s="11"/>
      <c r="V54" s="8"/>
    </row>
    <row r="55" customFormat="false" ht="15.75" hidden="false" customHeight="true" outlineLevel="0" collapsed="false"/>
    <row r="56" customFormat="false" ht="15.75" hidden="false" customHeight="true" outlineLevel="0" collapsed="false"/>
    <row r="57" customFormat="false" ht="15.75" hidden="false" customHeight="true" outlineLevel="0" collapsed="false"/>
    <row r="58" customFormat="false" ht="15.75" hidden="false" customHeight="true" outlineLevel="0" collapsed="false"/>
    <row r="59" customFormat="false" ht="15.75" hidden="false" customHeight="true" outlineLevel="0" collapsed="false"/>
    <row r="60" customFormat="false" ht="15.75" hidden="false" customHeight="true" outlineLevel="0" collapsed="false"/>
    <row r="61" customFormat="false" ht="15.75" hidden="false" customHeight="true" outlineLevel="0" collapsed="false"/>
    <row r="62" customFormat="false" ht="15.75" hidden="false" customHeight="true" outlineLevel="0" collapsed="false"/>
    <row r="63" customFormat="false" ht="15.75" hidden="false" customHeight="true" outlineLevel="0" collapsed="false"/>
    <row r="64" customFormat="false" ht="15.75" hidden="false" customHeight="true" outlineLevel="0" collapsed="false"/>
    <row r="65" customFormat="false" ht="15.75" hidden="false" customHeight="true" outlineLevel="0" collapsed="false"/>
    <row r="66" customFormat="false" ht="15.75" hidden="false" customHeight="true" outlineLevel="0" collapsed="false"/>
    <row r="67" customFormat="false" ht="15.75" hidden="false" customHeight="true" outlineLevel="0" collapsed="false"/>
    <row r="68" customFormat="false" ht="15.75" hidden="false" customHeight="true" outlineLevel="0" collapsed="false"/>
    <row r="69" customFormat="false" ht="15.75" hidden="false" customHeight="true" outlineLevel="0" collapsed="false"/>
    <row r="70" customFormat="false" ht="15.75" hidden="false" customHeight="true" outlineLevel="0" collapsed="false"/>
    <row r="71" customFormat="false" ht="15.75" hidden="false" customHeight="true" outlineLevel="0" collapsed="false"/>
    <row r="72" customFormat="false" ht="15.75" hidden="false" customHeight="true" outlineLevel="0" collapsed="false"/>
    <row r="73" customFormat="false" ht="15.75" hidden="false" customHeight="true" outlineLevel="0" collapsed="false"/>
    <row r="74" customFormat="false" ht="15.75" hidden="false" customHeight="true" outlineLevel="0" collapsed="false"/>
    <row r="75" customFormat="false" ht="15.75" hidden="false" customHeight="true" outlineLevel="0" collapsed="false"/>
    <row r="76" customFormat="false" ht="15.75" hidden="false" customHeight="true" outlineLevel="0" collapsed="false"/>
    <row r="77" customFormat="false" ht="15.75" hidden="false" customHeight="true" outlineLevel="0" collapsed="false"/>
    <row r="78" customFormat="false" ht="15.75" hidden="false" customHeight="true" outlineLevel="0" collapsed="false"/>
    <row r="79" customFormat="false" ht="15.75" hidden="false" customHeight="true" outlineLevel="0" collapsed="false"/>
    <row r="80" customFormat="false" ht="15.75" hidden="false" customHeight="true" outlineLevel="0" collapsed="false"/>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mergeCells count="2">
    <mergeCell ref="A1:L1"/>
    <mergeCell ref="X1:AF1"/>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4.43359375" defaultRowHeight="15" zeroHeight="false" outlineLevelRow="0" outlineLevelCol="0"/>
  <cols>
    <col collapsed="false" customWidth="true" hidden="false" outlineLevel="0" max="26" min="1" style="1" width="20"/>
  </cols>
  <sheetData>
    <row r="1" customFormat="false" ht="15" hidden="false" customHeight="true" outlineLevel="0" collapsed="false">
      <c r="A1" s="18" t="s">
        <v>1143</v>
      </c>
      <c r="B1" s="18" t="s">
        <v>1144</v>
      </c>
      <c r="C1" s="18" t="s">
        <v>1145</v>
      </c>
      <c r="D1" s="18" t="s">
        <v>1146</v>
      </c>
      <c r="F1" s="6" t="s">
        <v>1147</v>
      </c>
      <c r="G1" s="19" t="n">
        <f aca="false">'Central Tendency &amp; Dispersion'!$AB$4</f>
        <v>395</v>
      </c>
      <c r="H1" s="6" t="s">
        <v>1148</v>
      </c>
      <c r="I1" s="19" t="n">
        <f aca="false">'Central Tendency &amp; Dispersion'!$AC$4</f>
        <v>731</v>
      </c>
      <c r="K1" s="6" t="s">
        <v>1149</v>
      </c>
      <c r="L1" s="19" t="n">
        <f aca="false">MAX($G$1,MIN('Raw Data'!$E$2:$E$1001))</f>
        <v>395</v>
      </c>
      <c r="M1" s="6" t="s">
        <v>1150</v>
      </c>
      <c r="N1" s="19" t="n">
        <f aca="false">MIN($I$1,MAX('Raw Data'!$E$2:$E$1001))</f>
        <v>731</v>
      </c>
    </row>
    <row r="2" customFormat="false" ht="15" hidden="false" customHeight="true" outlineLevel="0" collapsed="false">
      <c r="A2" s="20" t="str">
        <f aca="false">"&lt; "&amp;TEXT(D2,"#,##0")&amp;" (below fence)"</f>
        <v>&lt; 395 (below fence)</v>
      </c>
      <c r="B2" s="21" t="n">
        <f aca="false">COUNTIFS('Raw Data'!$E$2:$E$1001,"&gt;="&amp;C2,'Raw Data'!$E$2:$E$1001,"&lt;"&amp;D2)</f>
        <v>112</v>
      </c>
      <c r="C2" s="16" t="n">
        <f aca="false">MIN('Raw Data'!$E$2:$E$1001)</f>
        <v>150</v>
      </c>
      <c r="D2" s="16" t="n">
        <f aca="false">$L$1</f>
        <v>395</v>
      </c>
    </row>
    <row r="3" customFormat="false" ht="15" hidden="false" customHeight="true" outlineLevel="0" collapsed="false">
      <c r="A3" s="14" t="str">
        <f aca="false">TEXT(C3,"#,##0")&amp;"–"&amp;TEXT(D3,"#,##0")</f>
        <v>395–451</v>
      </c>
      <c r="B3" s="16" t="n">
        <f aca="false">COUNTIFS('Raw Data'!$E$2:$E$1001,"&gt;="&amp;C3,'Raw Data'!$E$2:$E$1001,"&lt;"&amp;D3)</f>
        <v>13</v>
      </c>
      <c r="C3" s="16" t="n">
        <f aca="false">D2</f>
        <v>395</v>
      </c>
      <c r="D3" s="16" t="n">
        <f aca="false">$L$1+(1)*($N$1-$L$1)/6</f>
        <v>451</v>
      </c>
    </row>
    <row r="4" customFormat="false" ht="15" hidden="false" customHeight="true" outlineLevel="0" collapsed="false">
      <c r="A4" s="14" t="str">
        <f aca="false">TEXT(C4,"#,##0")&amp;"–"&amp;TEXT(D4,"#,##0")</f>
        <v>451–507</v>
      </c>
      <c r="B4" s="16" t="n">
        <f aca="false">COUNTIFS('Raw Data'!$E$2:$E$1001,"&gt;="&amp;C4,'Raw Data'!$E$2:$E$1001,"&lt;"&amp;D4)</f>
        <v>85</v>
      </c>
      <c r="C4" s="16" t="n">
        <f aca="false">D3</f>
        <v>451</v>
      </c>
      <c r="D4" s="16" t="n">
        <f aca="false">$L$1+(2)*($N$1-$L$1)/6</f>
        <v>507</v>
      </c>
    </row>
    <row r="5" customFormat="false" ht="15" hidden="false" customHeight="true" outlineLevel="0" collapsed="false">
      <c r="A5" s="14" t="str">
        <f aca="false">TEXT(C5,"#,##0")&amp;"–"&amp;TEXT(D5,"#,##0")</f>
        <v>507–563</v>
      </c>
      <c r="B5" s="16" t="n">
        <f aca="false">COUNTIFS('Raw Data'!$E$2:$E$1001,"&gt;="&amp;C5,'Raw Data'!$E$2:$E$1001,"&lt;"&amp;D5)</f>
        <v>403</v>
      </c>
      <c r="C5" s="16" t="n">
        <f aca="false">D4</f>
        <v>507</v>
      </c>
      <c r="D5" s="16" t="n">
        <f aca="false">$L$1+(3)*($N$1-$L$1)/6</f>
        <v>563</v>
      </c>
    </row>
    <row r="6" customFormat="false" ht="15" hidden="false" customHeight="true" outlineLevel="0" collapsed="false">
      <c r="A6" s="14" t="str">
        <f aca="false">TEXT(C6,"#,##0")&amp;"–"&amp;TEXT(D6,"#,##0")</f>
        <v>563–619</v>
      </c>
      <c r="B6" s="16" t="n">
        <f aca="false">COUNTIFS('Raw Data'!$E$2:$E$1001,"&gt;="&amp;C6,'Raw Data'!$E$2:$E$1001,"&lt;"&amp;D6)</f>
        <v>152</v>
      </c>
      <c r="C6" s="16" t="n">
        <f aca="false">D5</f>
        <v>563</v>
      </c>
      <c r="D6" s="16" t="n">
        <f aca="false">$L$1+(4)*($N$1-$L$1)/6</f>
        <v>619</v>
      </c>
    </row>
    <row r="7" customFormat="false" ht="15" hidden="false" customHeight="true" outlineLevel="0" collapsed="false">
      <c r="A7" s="14" t="str">
        <f aca="false">TEXT(C7,"#,##0")&amp;"–"&amp;TEXT(D7,"#,##0")</f>
        <v>619–675</v>
      </c>
      <c r="B7" s="16" t="n">
        <f aca="false">COUNTIFS('Raw Data'!$E$2:$E$1001,"&gt;="&amp;C7,'Raw Data'!$E$2:$E$1001,"&lt;"&amp;D7)</f>
        <v>16</v>
      </c>
      <c r="C7" s="16" t="n">
        <f aca="false">D6</f>
        <v>619</v>
      </c>
      <c r="D7" s="16" t="n">
        <f aca="false">$L$1+(5)*($N$1-$L$1)/6</f>
        <v>675</v>
      </c>
    </row>
    <row r="8" customFormat="false" ht="15" hidden="false" customHeight="true" outlineLevel="0" collapsed="false">
      <c r="A8" s="14" t="str">
        <f aca="false">TEXT(C8,"#,##0")&amp;"–"&amp;TEXT(D8,"#,##0")</f>
        <v>675–731</v>
      </c>
      <c r="B8" s="16" t="n">
        <f aca="false">COUNTIFS('Raw Data'!$E$2:$E$1001,"&gt;="&amp;C8,'Raw Data'!$E$2:$E$1001,"&lt;="&amp;D8)</f>
        <v>11</v>
      </c>
      <c r="C8" s="16" t="n">
        <f aca="false">D7</f>
        <v>675</v>
      </c>
      <c r="D8" s="16" t="n">
        <f aca="false">$N$1</f>
        <v>731</v>
      </c>
    </row>
    <row r="9" customFormat="false" ht="15" hidden="false" customHeight="true" outlineLevel="0" collapsed="false">
      <c r="A9" s="20" t="str">
        <f aca="false">"&gt; "&amp;TEXT(C9,"#,##0")&amp;" (above fence)"</f>
        <v>&gt; 731 (above fence)</v>
      </c>
      <c r="B9" s="21" t="n">
        <f aca="false">COUNTIFS('Raw Data'!$E$2:$E$1001,"&gt;"&amp;C9,'Raw Data'!$E$2:$E$1001,"&lt;="&amp;D9)</f>
        <v>207</v>
      </c>
      <c r="C9" s="16" t="n">
        <f aca="false">$N$1</f>
        <v>731</v>
      </c>
      <c r="D9" s="16" t="n">
        <f aca="false">MAX('Raw Data'!$E$2:$E$1001)</f>
        <v>37782</v>
      </c>
    </row>
    <row r="11" customFormat="false" ht="15" hidden="false" customHeight="true" outlineLevel="0" collapsed="false">
      <c r="A11" s="6" t="s">
        <v>1151</v>
      </c>
    </row>
    <row r="12" customFormat="false" ht="15" hidden="false" customHeight="true" outlineLevel="0" collapsed="false">
      <c r="A12" s="22" t="s">
        <v>1152</v>
      </c>
      <c r="B12" s="19" t="n">
        <f aca="false">G1</f>
        <v>395</v>
      </c>
    </row>
    <row r="13" customFormat="false" ht="15" hidden="false" customHeight="true" outlineLevel="0" collapsed="false">
      <c r="A13" s="22" t="s">
        <v>1153</v>
      </c>
      <c r="B13" s="19" t="n">
        <f aca="false">I1</f>
        <v>731</v>
      </c>
    </row>
    <row r="14" customFormat="false" ht="15" hidden="false" customHeight="true" outlineLevel="0" collapsed="false">
      <c r="A14" s="22" t="s">
        <v>1154</v>
      </c>
      <c r="B14" s="19" t="n">
        <f aca="false">B2</f>
        <v>112</v>
      </c>
    </row>
    <row r="15" customFormat="false" ht="15" hidden="false" customHeight="true" outlineLevel="0" collapsed="false">
      <c r="A15" s="22" t="s">
        <v>1155</v>
      </c>
      <c r="B15" s="19" t="n">
        <f aca="false">B9</f>
        <v>207</v>
      </c>
    </row>
    <row r="16" customFormat="false" ht="15" hidden="false" customHeight="true" outlineLevel="0" collapsed="false">
      <c r="A16" s="22" t="s">
        <v>1156</v>
      </c>
      <c r="B16" s="23" t="n">
        <f aca="false">(B2+B9)/SUM(B2:B9)</f>
        <v>0.319319319319319</v>
      </c>
    </row>
    <row r="21" customFormat="false" ht="15.75" hidden="false" customHeight="true" outlineLevel="0" collapsed="false"/>
    <row r="22" customFormat="false" ht="15.75" hidden="false" customHeight="true" outlineLevel="0" collapsed="false"/>
    <row r="23" customFormat="false" ht="15.75" hidden="false" customHeight="true" outlineLevel="0" collapsed="false"/>
    <row r="24" customFormat="false" ht="15.75" hidden="false" customHeight="true" outlineLevel="0" collapsed="false"/>
    <row r="25" customFormat="false" ht="15.75" hidden="false" customHeight="true" outlineLevel="0" collapsed="false"/>
    <row r="26" customFormat="false" ht="15.75" hidden="false" customHeight="true" outlineLevel="0" collapsed="false"/>
    <row r="27" customFormat="false" ht="15.75" hidden="false" customHeight="true" outlineLevel="0" collapsed="false"/>
    <row r="28" customFormat="false" ht="15.75" hidden="false" customHeight="true" outlineLevel="0" collapsed="false"/>
    <row r="29" customFormat="false" ht="15.75" hidden="false" customHeight="true" outlineLevel="0" collapsed="false"/>
    <row r="30" customFormat="false" ht="15.75" hidden="false" customHeight="true" outlineLevel="0" collapsed="false"/>
    <row r="31" customFormat="false" ht="15.75" hidden="false" customHeight="true" outlineLevel="0" collapsed="false"/>
    <row r="32" customFormat="false" ht="15.75" hidden="false" customHeight="true" outlineLevel="0" collapsed="false"/>
    <row r="33" customFormat="false" ht="15.75" hidden="false" customHeight="true" outlineLevel="0" collapsed="false"/>
    <row r="34" customFormat="false" ht="15.75" hidden="false" customHeight="true" outlineLevel="0" collapsed="false"/>
    <row r="35" customFormat="false" ht="15.75" hidden="false" customHeight="true" outlineLevel="0" collapsed="false"/>
    <row r="36" customFormat="false" ht="15.75" hidden="false" customHeight="true" outlineLevel="0" collapsed="false"/>
    <row r="37" customFormat="false" ht="15.75" hidden="false" customHeight="true" outlineLevel="0" collapsed="false"/>
    <row r="38" customFormat="false" ht="15.75" hidden="false" customHeight="true" outlineLevel="0" collapsed="false"/>
    <row r="39" customFormat="false" ht="15.75" hidden="false" customHeight="true" outlineLevel="0" collapsed="false"/>
    <row r="40" customFormat="false" ht="15.75" hidden="false" customHeight="true" outlineLevel="0" collapsed="false"/>
    <row r="41" customFormat="false" ht="15.75" hidden="false" customHeight="true" outlineLevel="0" collapsed="false"/>
    <row r="42" customFormat="false" ht="15.75" hidden="false" customHeight="true" outlineLevel="0" collapsed="false"/>
    <row r="43" customFormat="false" ht="15.75" hidden="false" customHeight="true" outlineLevel="0" collapsed="false"/>
    <row r="44" customFormat="false" ht="15.75" hidden="false" customHeight="true" outlineLevel="0" collapsed="false"/>
    <row r="45" customFormat="false" ht="15.75" hidden="false" customHeight="true" outlineLevel="0" collapsed="false"/>
    <row r="46" customFormat="false" ht="15.75" hidden="false" customHeight="true" outlineLevel="0" collapsed="false"/>
    <row r="47" customFormat="false" ht="15.75" hidden="false" customHeight="true" outlineLevel="0" collapsed="false"/>
    <row r="48" customFormat="false" ht="15.75" hidden="false" customHeight="true" outlineLevel="0" collapsed="false"/>
    <row r="49" customFormat="false" ht="15.75" hidden="false" customHeight="true" outlineLevel="0" collapsed="false"/>
    <row r="50" customFormat="false" ht="15.75" hidden="false" customHeight="true" outlineLevel="0" collapsed="false"/>
    <row r="51" customFormat="false" ht="15.75" hidden="false" customHeight="true" outlineLevel="0" collapsed="false"/>
    <row r="52" customFormat="false" ht="15.75" hidden="false" customHeight="true" outlineLevel="0" collapsed="false"/>
    <row r="53" customFormat="false" ht="15.75" hidden="false" customHeight="true" outlineLevel="0" collapsed="false"/>
    <row r="54" customFormat="false" ht="15.75" hidden="false" customHeight="true" outlineLevel="0" collapsed="false"/>
    <row r="55" customFormat="false" ht="15.75" hidden="false" customHeight="true" outlineLevel="0" collapsed="false"/>
    <row r="56" customFormat="false" ht="15.75" hidden="false" customHeight="true" outlineLevel="0" collapsed="false"/>
    <row r="57" customFormat="false" ht="15.75" hidden="false" customHeight="true" outlineLevel="0" collapsed="false"/>
    <row r="58" customFormat="false" ht="15.75" hidden="false" customHeight="true" outlineLevel="0" collapsed="false"/>
    <row r="59" customFormat="false" ht="15.75" hidden="false" customHeight="true" outlineLevel="0" collapsed="false"/>
    <row r="60" customFormat="false" ht="15.75" hidden="false" customHeight="true" outlineLevel="0" collapsed="false"/>
    <row r="61" customFormat="false" ht="15.75" hidden="false" customHeight="true" outlineLevel="0" collapsed="false"/>
    <row r="62" customFormat="false" ht="15.75" hidden="false" customHeight="true" outlineLevel="0" collapsed="false"/>
    <row r="63" customFormat="false" ht="15.75" hidden="false" customHeight="true" outlineLevel="0" collapsed="false"/>
    <row r="64" customFormat="false" ht="15.75" hidden="false" customHeight="true" outlineLevel="0" collapsed="false"/>
    <row r="65" customFormat="false" ht="15.75" hidden="false" customHeight="true" outlineLevel="0" collapsed="false"/>
    <row r="66" customFormat="false" ht="15.75" hidden="false" customHeight="true" outlineLevel="0" collapsed="false"/>
    <row r="67" customFormat="false" ht="15.75" hidden="false" customHeight="true" outlineLevel="0" collapsed="false"/>
    <row r="68" customFormat="false" ht="15.75" hidden="false" customHeight="true" outlineLevel="0" collapsed="false"/>
    <row r="69" customFormat="false" ht="15.75" hidden="false" customHeight="true" outlineLevel="0" collapsed="false"/>
    <row r="70" customFormat="false" ht="15.75" hidden="false" customHeight="true" outlineLevel="0" collapsed="false"/>
    <row r="71" customFormat="false" ht="15.75" hidden="false" customHeight="true" outlineLevel="0" collapsed="false"/>
    <row r="72" customFormat="false" ht="15.75" hidden="false" customHeight="true" outlineLevel="0" collapsed="false"/>
    <row r="73" customFormat="false" ht="15.75" hidden="false" customHeight="true" outlineLevel="0" collapsed="false"/>
    <row r="74" customFormat="false" ht="15.75" hidden="false" customHeight="true" outlineLevel="0" collapsed="false"/>
    <row r="75" customFormat="false" ht="15.75" hidden="false" customHeight="true" outlineLevel="0" collapsed="false"/>
    <row r="76" customFormat="false" ht="15.75" hidden="false" customHeight="true" outlineLevel="0" collapsed="false"/>
    <row r="77" customFormat="false" ht="15.75" hidden="false" customHeight="true" outlineLevel="0" collapsed="false"/>
    <row r="78" customFormat="false" ht="15.75" hidden="false" customHeight="true" outlineLevel="0" collapsed="false"/>
    <row r="79" customFormat="false" ht="15.75" hidden="false" customHeight="true" outlineLevel="0" collapsed="false"/>
    <row r="80" customFormat="false" ht="15.75" hidden="false" customHeight="true" outlineLevel="0" collapsed="false"/>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4.43359375" defaultRowHeight="15" zeroHeight="false" outlineLevelRow="0" outlineLevelCol="0"/>
  <cols>
    <col collapsed="false" customWidth="true" hidden="false" outlineLevel="0" max="26" min="1" style="1" width="20"/>
  </cols>
  <sheetData>
    <row r="1" customFormat="false" ht="15" hidden="false" customHeight="true" outlineLevel="0" collapsed="false">
      <c r="A1" s="18" t="s">
        <v>1157</v>
      </c>
      <c r="B1" s="18" t="s">
        <v>1144</v>
      </c>
      <c r="C1" s="18" t="s">
        <v>1145</v>
      </c>
      <c r="D1" s="18" t="s">
        <v>1146</v>
      </c>
      <c r="F1" s="6" t="s">
        <v>1147</v>
      </c>
      <c r="G1" s="19" t="n">
        <f aca="false">'Central Tendency &amp; Dispersion'!$AB$5</f>
        <v>403.25</v>
      </c>
      <c r="H1" s="6" t="s">
        <v>1148</v>
      </c>
      <c r="I1" s="19" t="n">
        <f aca="false">'Central Tendency &amp; Dispersion'!$AC$5</f>
        <v>757.25</v>
      </c>
      <c r="K1" s="6" t="s">
        <v>1149</v>
      </c>
      <c r="L1" s="19" t="n">
        <f aca="false">MAX($G$1,MIN('Raw Data'!$F$2:$F$1001))</f>
        <v>403.25</v>
      </c>
      <c r="M1" s="6" t="s">
        <v>1150</v>
      </c>
      <c r="N1" s="19" t="n">
        <f aca="false">MIN($I$1,MAX('Raw Data'!$F$2:$F$1001))</f>
        <v>757.25</v>
      </c>
    </row>
    <row r="2" customFormat="false" ht="15" hidden="false" customHeight="true" outlineLevel="0" collapsed="false">
      <c r="A2" s="20" t="str">
        <f aca="false">"&lt; "&amp;TEXT(D2,"#,##0")&amp;" (below fence)"</f>
        <v>&lt; 403 (below fence)</v>
      </c>
      <c r="B2" s="21" t="n">
        <f aca="false">COUNTIFS('Raw Data'!$F$2:$F$1001,"&gt;="&amp;C2,'Raw Data'!$F$2:$F$1001,"&lt;"&amp;D2)</f>
        <v>106</v>
      </c>
      <c r="C2" s="16" t="n">
        <f aca="false">MIN('Raw Data'!$F$2:$F$1001)</f>
        <v>150</v>
      </c>
      <c r="D2" s="16" t="n">
        <f aca="false">$L$1</f>
        <v>403.25</v>
      </c>
    </row>
    <row r="3" customFormat="false" ht="15" hidden="false" customHeight="true" outlineLevel="0" collapsed="false">
      <c r="A3" s="14" t="str">
        <f aca="false">TEXT(C3,"#,##0")&amp;"–"&amp;TEXT(D3,"#,##0")</f>
        <v>403–462</v>
      </c>
      <c r="B3" s="16" t="n">
        <f aca="false">COUNTIFS('Raw Data'!$F$2:$F$1001,"&gt;="&amp;C3,'Raw Data'!$F$2:$F$1001,"&lt;"&amp;D3)</f>
        <v>16</v>
      </c>
      <c r="C3" s="16" t="n">
        <f aca="false">D2</f>
        <v>403.25</v>
      </c>
      <c r="D3" s="16" t="n">
        <f aca="false">$L$1+(1)*($N$1-$L$1)/6</f>
        <v>462.25</v>
      </c>
    </row>
    <row r="4" customFormat="false" ht="15" hidden="false" customHeight="true" outlineLevel="0" collapsed="false">
      <c r="A4" s="14" t="str">
        <f aca="false">TEXT(C4,"#,##0")&amp;"–"&amp;TEXT(D4,"#,##0")</f>
        <v>462–521</v>
      </c>
      <c r="B4" s="16" t="n">
        <f aca="false">COUNTIFS('Raw Data'!$F$2:$F$1001,"&gt;="&amp;C4,'Raw Data'!$F$2:$F$1001,"&lt;"&amp;D4)</f>
        <v>79</v>
      </c>
      <c r="C4" s="16" t="n">
        <f aca="false">D3</f>
        <v>462.25</v>
      </c>
      <c r="D4" s="16" t="n">
        <f aca="false">$L$1+(2)*($N$1-$L$1)/6</f>
        <v>521.25</v>
      </c>
    </row>
    <row r="5" customFormat="false" ht="15" hidden="false" customHeight="true" outlineLevel="0" collapsed="false">
      <c r="A5" s="14" t="str">
        <f aca="false">TEXT(C5,"#,##0")&amp;"–"&amp;TEXT(D5,"#,##0")</f>
        <v>521–580</v>
      </c>
      <c r="B5" s="16" t="n">
        <f aca="false">COUNTIFS('Raw Data'!$F$2:$F$1001,"&gt;="&amp;C5,'Raw Data'!$F$2:$F$1001,"&lt;"&amp;D5)</f>
        <v>463</v>
      </c>
      <c r="C5" s="16" t="n">
        <f aca="false">D4</f>
        <v>521.25</v>
      </c>
      <c r="D5" s="16" t="n">
        <f aca="false">$L$1+(3)*($N$1-$L$1)/6</f>
        <v>580.25</v>
      </c>
    </row>
    <row r="6" customFormat="false" ht="15" hidden="false" customHeight="true" outlineLevel="0" collapsed="false">
      <c r="A6" s="14" t="str">
        <f aca="false">TEXT(C6,"#,##0")&amp;"–"&amp;TEXT(D6,"#,##0")</f>
        <v>580–639</v>
      </c>
      <c r="B6" s="16" t="n">
        <f aca="false">COUNTIFS('Raw Data'!$F$2:$F$1001,"&gt;="&amp;C6,'Raw Data'!$F$2:$F$1001,"&lt;"&amp;D6)</f>
        <v>93</v>
      </c>
      <c r="C6" s="16" t="n">
        <f aca="false">D5</f>
        <v>580.25</v>
      </c>
      <c r="D6" s="16" t="n">
        <f aca="false">$L$1+(4)*($N$1-$L$1)/6</f>
        <v>639.25</v>
      </c>
    </row>
    <row r="7" customFormat="false" ht="15" hidden="false" customHeight="true" outlineLevel="0" collapsed="false">
      <c r="A7" s="14" t="str">
        <f aca="false">TEXT(C7,"#,##0")&amp;"–"&amp;TEXT(D7,"#,##0")</f>
        <v>639–698</v>
      </c>
      <c r="B7" s="16" t="n">
        <f aca="false">COUNTIFS('Raw Data'!$F$2:$F$1001,"&gt;="&amp;C7,'Raw Data'!$F$2:$F$1001,"&lt;"&amp;D7)</f>
        <v>17</v>
      </c>
      <c r="C7" s="16" t="n">
        <f aca="false">D6</f>
        <v>639.25</v>
      </c>
      <c r="D7" s="16" t="n">
        <f aca="false">$L$1+(5)*($N$1-$L$1)/6</f>
        <v>698.25</v>
      </c>
    </row>
    <row r="8" customFormat="false" ht="15" hidden="false" customHeight="true" outlineLevel="0" collapsed="false">
      <c r="A8" s="14" t="str">
        <f aca="false">TEXT(C8,"#,##0")&amp;"–"&amp;TEXT(D8,"#,##0")</f>
        <v>698–757</v>
      </c>
      <c r="B8" s="16" t="n">
        <f aca="false">COUNTIFS('Raw Data'!$F$2:$F$1001,"&gt;="&amp;C8,'Raw Data'!$F$2:$F$1001,"&lt;="&amp;D8)</f>
        <v>16</v>
      </c>
      <c r="C8" s="16" t="n">
        <f aca="false">D7</f>
        <v>698.25</v>
      </c>
      <c r="D8" s="16" t="n">
        <f aca="false">$N$1</f>
        <v>757.25</v>
      </c>
    </row>
    <row r="9" customFormat="false" ht="15" hidden="false" customHeight="true" outlineLevel="0" collapsed="false">
      <c r="A9" s="20" t="str">
        <f aca="false">"&gt; "&amp;TEXT(C9,"#,##0")&amp;" (above fence)"</f>
        <v>&gt; 757 (above fence)</v>
      </c>
      <c r="B9" s="21" t="n">
        <f aca="false">COUNTIFS('Raw Data'!$F$2:$F$1001,"&gt;"&amp;C9,'Raw Data'!$F$2:$F$1001,"&lt;="&amp;D9)</f>
        <v>209</v>
      </c>
      <c r="C9" s="16" t="n">
        <f aca="false">$N$1</f>
        <v>757.25</v>
      </c>
      <c r="D9" s="16" t="n">
        <f aca="false">MAX('Raw Data'!$F$2:$F$1001)</f>
        <v>353798</v>
      </c>
    </row>
    <row r="11" customFormat="false" ht="15" hidden="false" customHeight="true" outlineLevel="0" collapsed="false">
      <c r="A11" s="6" t="s">
        <v>1151</v>
      </c>
    </row>
    <row r="12" customFormat="false" ht="15" hidden="false" customHeight="true" outlineLevel="0" collapsed="false">
      <c r="A12" s="22" t="s">
        <v>1152</v>
      </c>
      <c r="B12" s="19" t="n">
        <f aca="false">G1</f>
        <v>403.25</v>
      </c>
    </row>
    <row r="13" customFormat="false" ht="15" hidden="false" customHeight="true" outlineLevel="0" collapsed="false">
      <c r="A13" s="22" t="s">
        <v>1153</v>
      </c>
      <c r="B13" s="19" t="n">
        <f aca="false">I1</f>
        <v>757.25</v>
      </c>
    </row>
    <row r="14" customFormat="false" ht="15" hidden="false" customHeight="true" outlineLevel="0" collapsed="false">
      <c r="A14" s="22" t="s">
        <v>1154</v>
      </c>
      <c r="B14" s="19" t="n">
        <f aca="false">B2</f>
        <v>106</v>
      </c>
    </row>
    <row r="15" customFormat="false" ht="15" hidden="false" customHeight="true" outlineLevel="0" collapsed="false">
      <c r="A15" s="22" t="s">
        <v>1155</v>
      </c>
      <c r="B15" s="19" t="n">
        <f aca="false">B9</f>
        <v>209</v>
      </c>
    </row>
    <row r="16" customFormat="false" ht="15" hidden="false" customHeight="true" outlineLevel="0" collapsed="false">
      <c r="A16" s="22" t="s">
        <v>1156</v>
      </c>
      <c r="B16" s="23" t="n">
        <f aca="false">(B2+B9)/SUM(B2:B9)</f>
        <v>0.315315315315315</v>
      </c>
    </row>
    <row r="21" customFormat="false" ht="15.75" hidden="false" customHeight="true" outlineLevel="0" collapsed="false"/>
    <row r="22" customFormat="false" ht="15.75" hidden="false" customHeight="true" outlineLevel="0" collapsed="false"/>
    <row r="23" customFormat="false" ht="15.75" hidden="false" customHeight="true" outlineLevel="0" collapsed="false"/>
    <row r="24" customFormat="false" ht="15.75" hidden="false" customHeight="true" outlineLevel="0" collapsed="false"/>
    <row r="25" customFormat="false" ht="15.75" hidden="false" customHeight="true" outlineLevel="0" collapsed="false"/>
    <row r="26" customFormat="false" ht="15.75" hidden="false" customHeight="true" outlineLevel="0" collapsed="false"/>
    <row r="27" customFormat="false" ht="15.75" hidden="false" customHeight="true" outlineLevel="0" collapsed="false"/>
    <row r="28" customFormat="false" ht="15.75" hidden="false" customHeight="true" outlineLevel="0" collapsed="false"/>
    <row r="29" customFormat="false" ht="15.75" hidden="false" customHeight="true" outlineLevel="0" collapsed="false"/>
    <row r="30" customFormat="false" ht="15.75" hidden="false" customHeight="true" outlineLevel="0" collapsed="false"/>
    <row r="31" customFormat="false" ht="15.75" hidden="false" customHeight="true" outlineLevel="0" collapsed="false"/>
    <row r="32" customFormat="false" ht="15.75" hidden="false" customHeight="true" outlineLevel="0" collapsed="false"/>
    <row r="33" customFormat="false" ht="15.75" hidden="false" customHeight="true" outlineLevel="0" collapsed="false"/>
    <row r="34" customFormat="false" ht="15.75" hidden="false" customHeight="true" outlineLevel="0" collapsed="false"/>
    <row r="35" customFormat="false" ht="15.75" hidden="false" customHeight="true" outlineLevel="0" collapsed="false"/>
    <row r="36" customFormat="false" ht="15.75" hidden="false" customHeight="true" outlineLevel="0" collapsed="false"/>
    <row r="37" customFormat="false" ht="15.75" hidden="false" customHeight="true" outlineLevel="0" collapsed="false"/>
    <row r="38" customFormat="false" ht="15.75" hidden="false" customHeight="true" outlineLevel="0" collapsed="false"/>
    <row r="39" customFormat="false" ht="15.75" hidden="false" customHeight="true" outlineLevel="0" collapsed="false"/>
    <row r="40" customFormat="false" ht="15.75" hidden="false" customHeight="true" outlineLevel="0" collapsed="false"/>
    <row r="41" customFormat="false" ht="15.75" hidden="false" customHeight="true" outlineLevel="0" collapsed="false"/>
    <row r="42" customFormat="false" ht="15.75" hidden="false" customHeight="true" outlineLevel="0" collapsed="false"/>
    <row r="43" customFormat="false" ht="15.75" hidden="false" customHeight="true" outlineLevel="0" collapsed="false"/>
    <row r="44" customFormat="false" ht="15.75" hidden="false" customHeight="true" outlineLevel="0" collapsed="false"/>
    <row r="45" customFormat="false" ht="15.75" hidden="false" customHeight="true" outlineLevel="0" collapsed="false"/>
    <row r="46" customFormat="false" ht="15.75" hidden="false" customHeight="true" outlineLevel="0" collapsed="false"/>
    <row r="47" customFormat="false" ht="15.75" hidden="false" customHeight="true" outlineLevel="0" collapsed="false"/>
    <row r="48" customFormat="false" ht="15.75" hidden="false" customHeight="true" outlineLevel="0" collapsed="false"/>
    <row r="49" customFormat="false" ht="15.75" hidden="false" customHeight="true" outlineLevel="0" collapsed="false"/>
    <row r="50" customFormat="false" ht="15.75" hidden="false" customHeight="true" outlineLevel="0" collapsed="false"/>
    <row r="51" customFormat="false" ht="15.75" hidden="false" customHeight="true" outlineLevel="0" collapsed="false"/>
    <row r="52" customFormat="false" ht="15.75" hidden="false" customHeight="true" outlineLevel="0" collapsed="false"/>
    <row r="53" customFormat="false" ht="15.75" hidden="false" customHeight="true" outlineLevel="0" collapsed="false"/>
    <row r="54" customFormat="false" ht="15.75" hidden="false" customHeight="true" outlineLevel="0" collapsed="false"/>
    <row r="55" customFormat="false" ht="15.75" hidden="false" customHeight="true" outlineLevel="0" collapsed="false"/>
    <row r="56" customFormat="false" ht="15.75" hidden="false" customHeight="true" outlineLevel="0" collapsed="false"/>
    <row r="57" customFormat="false" ht="15.75" hidden="false" customHeight="true" outlineLevel="0" collapsed="false"/>
    <row r="58" customFormat="false" ht="15.75" hidden="false" customHeight="true" outlineLevel="0" collapsed="false"/>
    <row r="59" customFormat="false" ht="15.75" hidden="false" customHeight="true" outlineLevel="0" collapsed="false"/>
    <row r="60" customFormat="false" ht="15.75" hidden="false" customHeight="true" outlineLevel="0" collapsed="false"/>
    <row r="61" customFormat="false" ht="15.75" hidden="false" customHeight="true" outlineLevel="0" collapsed="false"/>
    <row r="62" customFormat="false" ht="15.75" hidden="false" customHeight="true" outlineLevel="0" collapsed="false"/>
    <row r="63" customFormat="false" ht="15.75" hidden="false" customHeight="true" outlineLevel="0" collapsed="false"/>
    <row r="64" customFormat="false" ht="15.75" hidden="false" customHeight="true" outlineLevel="0" collapsed="false"/>
    <row r="65" customFormat="false" ht="15.75" hidden="false" customHeight="true" outlineLevel="0" collapsed="false"/>
    <row r="66" customFormat="false" ht="15.75" hidden="false" customHeight="true" outlineLevel="0" collapsed="false"/>
    <row r="67" customFormat="false" ht="15.75" hidden="false" customHeight="true" outlineLevel="0" collapsed="false"/>
    <row r="68" customFormat="false" ht="15.75" hidden="false" customHeight="true" outlineLevel="0" collapsed="false"/>
    <row r="69" customFormat="false" ht="15.75" hidden="false" customHeight="true" outlineLevel="0" collapsed="false"/>
    <row r="70" customFormat="false" ht="15.75" hidden="false" customHeight="true" outlineLevel="0" collapsed="false"/>
    <row r="71" customFormat="false" ht="15.75" hidden="false" customHeight="true" outlineLevel="0" collapsed="false"/>
    <row r="72" customFormat="false" ht="15.75" hidden="false" customHeight="true" outlineLevel="0" collapsed="false"/>
    <row r="73" customFormat="false" ht="15.75" hidden="false" customHeight="true" outlineLevel="0" collapsed="false"/>
    <row r="74" customFormat="false" ht="15.75" hidden="false" customHeight="true" outlineLevel="0" collapsed="false"/>
    <row r="75" customFormat="false" ht="15.75" hidden="false" customHeight="true" outlineLevel="0" collapsed="false"/>
    <row r="76" customFormat="false" ht="15.75" hidden="false" customHeight="true" outlineLevel="0" collapsed="false"/>
    <row r="77" customFormat="false" ht="15.75" hidden="false" customHeight="true" outlineLevel="0" collapsed="false"/>
    <row r="78" customFormat="false" ht="15.75" hidden="false" customHeight="true" outlineLevel="0" collapsed="false"/>
    <row r="79" customFormat="false" ht="15.75" hidden="false" customHeight="true" outlineLevel="0" collapsed="false"/>
    <row r="80" customFormat="false" ht="15.75" hidden="false" customHeight="true" outlineLevel="0" collapsed="false"/>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4.43359375" defaultRowHeight="15" zeroHeight="false" outlineLevelRow="0" outlineLevelCol="0"/>
  <cols>
    <col collapsed="false" customWidth="true" hidden="false" outlineLevel="0" max="26" min="1" style="1" width="20"/>
  </cols>
  <sheetData>
    <row r="1" customFormat="false" ht="15" hidden="false" customHeight="true" outlineLevel="0" collapsed="false">
      <c r="A1" s="18" t="s">
        <v>1158</v>
      </c>
      <c r="B1" s="18" t="s">
        <v>1144</v>
      </c>
      <c r="C1" s="18" t="s">
        <v>1145</v>
      </c>
      <c r="D1" s="18" t="s">
        <v>1146</v>
      </c>
      <c r="F1" s="6" t="s">
        <v>1147</v>
      </c>
      <c r="G1" s="24" t="n">
        <f aca="false">'Central Tendency &amp; Dispersion'!$AB$6</f>
        <v>0.649999999999992</v>
      </c>
      <c r="H1" s="6" t="s">
        <v>1148</v>
      </c>
      <c r="I1" s="24" t="n">
        <f aca="false">'Central Tendency &amp; Dispersion'!$AC$6</f>
        <v>140.25</v>
      </c>
      <c r="K1" s="6" t="s">
        <v>1149</v>
      </c>
      <c r="L1" s="24" t="n">
        <f aca="false">MAX($G$1,MIN('Raw Data'!$G$2:$G$1001))</f>
        <v>0.649999999999992</v>
      </c>
      <c r="M1" s="6" t="s">
        <v>1150</v>
      </c>
      <c r="N1" s="24" t="n">
        <f aca="false">MIN($I$1,MAX('Raw Data'!$G$2:$G$1001))</f>
        <v>140.25</v>
      </c>
    </row>
    <row r="2" customFormat="false" ht="15" hidden="false" customHeight="true" outlineLevel="0" collapsed="false">
      <c r="A2" s="20" t="str">
        <f aca="false">"&lt; "&amp;TEXT(D2,"0.00")&amp;" (below fence)"</f>
        <v>&lt; 0.65 (below fence)</v>
      </c>
      <c r="B2" s="21" t="n">
        <f aca="false">COUNTIFS('Raw Data'!$G$2:$G$1001,"&gt;="&amp;C2,'Raw Data'!$G$2:$G$1001,"&lt;"&amp;D2)</f>
        <v>86</v>
      </c>
      <c r="C2" s="25" t="n">
        <f aca="false">MIN('Raw Data'!$G$2:$G$1001)</f>
        <v>0</v>
      </c>
      <c r="D2" s="25" t="n">
        <f aca="false">$L$1</f>
        <v>0.649999999999992</v>
      </c>
    </row>
    <row r="3" customFormat="false" ht="15" hidden="false" customHeight="true" outlineLevel="0" collapsed="false">
      <c r="A3" s="14" t="str">
        <f aca="false">TEXT(C3,"0.00")&amp;"–"&amp;TEXT(D3,"0.00")</f>
        <v>0.65–23.92</v>
      </c>
      <c r="B3" s="16" t="n">
        <f aca="false">COUNTIFS('Raw Data'!$G$2:$G$1001,"&gt;="&amp;C3,'Raw Data'!$G$2:$G$1001,"&lt;"&amp;D3)</f>
        <v>19</v>
      </c>
      <c r="C3" s="25" t="n">
        <f aca="false">D2</f>
        <v>0.649999999999992</v>
      </c>
      <c r="D3" s="25" t="n">
        <f aca="false">$L$1+(1)*($N$1-$L$1)/6</f>
        <v>23.9166666666667</v>
      </c>
    </row>
    <row r="4" customFormat="false" ht="15" hidden="false" customHeight="true" outlineLevel="0" collapsed="false">
      <c r="A4" s="14" t="str">
        <f aca="false">TEXT(C4,"0.00")&amp;"–"&amp;TEXT(D4,"0.00")</f>
        <v>23.92–47.18</v>
      </c>
      <c r="B4" s="16" t="n">
        <f aca="false">COUNTIFS('Raw Data'!$G$2:$G$1001,"&gt;="&amp;C4,'Raw Data'!$G$2:$G$1001,"&lt;"&amp;D4)</f>
        <v>83</v>
      </c>
      <c r="C4" s="25" t="n">
        <f aca="false">D3</f>
        <v>23.9166666666667</v>
      </c>
      <c r="D4" s="25" t="n">
        <f aca="false">$L$1+(2)*($N$1-$L$1)/6</f>
        <v>47.1833333333333</v>
      </c>
    </row>
    <row r="5" customFormat="false" ht="15" hidden="false" customHeight="true" outlineLevel="0" collapsed="false">
      <c r="A5" s="14" t="str">
        <f aca="false">TEXT(C5,"0.00")&amp;"–"&amp;TEXT(D5,"0.00")</f>
        <v>47.18–70.45</v>
      </c>
      <c r="B5" s="16" t="n">
        <f aca="false">COUNTIFS('Raw Data'!$G$2:$G$1001,"&gt;="&amp;C5,'Raw Data'!$G$2:$G$1001,"&lt;"&amp;D5)</f>
        <v>478</v>
      </c>
      <c r="C5" s="25" t="n">
        <f aca="false">D4</f>
        <v>47.1833333333333</v>
      </c>
      <c r="D5" s="25" t="n">
        <f aca="false">$L$1+(3)*($N$1-$L$1)/6</f>
        <v>70.45</v>
      </c>
    </row>
    <row r="6" customFormat="false" ht="15" hidden="false" customHeight="true" outlineLevel="0" collapsed="false">
      <c r="A6" s="14" t="str">
        <f aca="false">TEXT(C6,"0.00")&amp;"–"&amp;TEXT(D6,"0.00")</f>
        <v>70.45–93.72</v>
      </c>
      <c r="B6" s="16" t="n">
        <f aca="false">COUNTIFS('Raw Data'!$G$2:$G$1001,"&gt;="&amp;C6,'Raw Data'!$G$2:$G$1001,"&lt;"&amp;D6)</f>
        <v>93</v>
      </c>
      <c r="C6" s="25" t="n">
        <f aca="false">D5</f>
        <v>70.45</v>
      </c>
      <c r="D6" s="25" t="n">
        <f aca="false">$L$1+(4)*($N$1-$L$1)/6</f>
        <v>93.7166666666667</v>
      </c>
    </row>
    <row r="7" customFormat="false" ht="15" hidden="false" customHeight="true" outlineLevel="0" collapsed="false">
      <c r="A7" s="14" t="str">
        <f aca="false">TEXT(C7,"0.00")&amp;"–"&amp;TEXT(D7,"0.00")</f>
        <v>93.72–116.98</v>
      </c>
      <c r="B7" s="16" t="n">
        <f aca="false">COUNTIFS('Raw Data'!$G$2:$G$1001,"&gt;="&amp;C7,'Raw Data'!$G$2:$G$1001,"&lt;"&amp;D7)</f>
        <v>239</v>
      </c>
      <c r="C7" s="25" t="n">
        <f aca="false">D6</f>
        <v>93.7166666666667</v>
      </c>
      <c r="D7" s="25" t="n">
        <f aca="false">$L$1+(5)*($N$1-$L$1)/6</f>
        <v>116.983333333333</v>
      </c>
    </row>
    <row r="8" customFormat="false" ht="15" hidden="false" customHeight="true" outlineLevel="0" collapsed="false">
      <c r="A8" s="14" t="str">
        <f aca="false">TEXT(C8,"0.00")&amp;"–"&amp;TEXT(D8,"0.00")</f>
        <v>116.98–140.25</v>
      </c>
      <c r="B8" s="16" t="n">
        <f aca="false">COUNTIFS('Raw Data'!$G$2:$G$1001,"&gt;="&amp;C8,'Raw Data'!$G$2:$G$1001,"&lt;="&amp;D8)</f>
        <v>1</v>
      </c>
      <c r="C8" s="25" t="n">
        <f aca="false">D7</f>
        <v>116.983333333333</v>
      </c>
      <c r="D8" s="25" t="n">
        <f aca="false">$N$1</f>
        <v>140.25</v>
      </c>
    </row>
    <row r="9" customFormat="false" ht="15" hidden="false" customHeight="true" outlineLevel="0" collapsed="false">
      <c r="A9" s="20" t="str">
        <f aca="false">"&gt; "&amp;TEXT(C9,"0.00")&amp;" (above fence)"</f>
        <v>&gt; 140.25 (above fence)</v>
      </c>
      <c r="B9" s="21" t="n">
        <f aca="false">COUNTIFS('Raw Data'!$G$2:$G$1001,"&gt;"&amp;C9,'Raw Data'!$G$2:$G$1001,"&lt;="&amp;D9)</f>
        <v>1</v>
      </c>
      <c r="C9" s="25" t="n">
        <f aca="false">$N$1</f>
        <v>140.25</v>
      </c>
      <c r="D9" s="25" t="n">
        <f aca="false">MAX('Raw Data'!$G$2:$G$1001)</f>
        <v>141.12</v>
      </c>
    </row>
    <row r="10" customFormat="false" ht="15" hidden="false" customHeight="true" outlineLevel="0" collapsed="false"/>
    <row r="11" customFormat="false" ht="15" hidden="false" customHeight="true" outlineLevel="0" collapsed="false">
      <c r="A11" s="6" t="s">
        <v>1151</v>
      </c>
    </row>
    <row r="12" customFormat="false" ht="15" hidden="false" customHeight="true" outlineLevel="0" collapsed="false">
      <c r="A12" s="22" t="s">
        <v>1152</v>
      </c>
      <c r="B12" s="24" t="n">
        <f aca="false">G1</f>
        <v>0.649999999999992</v>
      </c>
    </row>
    <row r="13" customFormat="false" ht="15" hidden="false" customHeight="true" outlineLevel="0" collapsed="false">
      <c r="A13" s="22" t="s">
        <v>1153</v>
      </c>
      <c r="B13" s="24" t="n">
        <f aca="false">I1</f>
        <v>140.25</v>
      </c>
    </row>
    <row r="14" customFormat="false" ht="15" hidden="false" customHeight="true" outlineLevel="0" collapsed="false">
      <c r="A14" s="22" t="s">
        <v>1154</v>
      </c>
      <c r="B14" s="19" t="n">
        <f aca="false">B2</f>
        <v>86</v>
      </c>
    </row>
    <row r="15" customFormat="false" ht="15" hidden="false" customHeight="true" outlineLevel="0" collapsed="false">
      <c r="A15" s="22" t="s">
        <v>1155</v>
      </c>
      <c r="B15" s="19" t="n">
        <f aca="false">B9</f>
        <v>1</v>
      </c>
    </row>
    <row r="16" customFormat="false" ht="15" hidden="false" customHeight="true" outlineLevel="0" collapsed="false">
      <c r="A16" s="22" t="s">
        <v>1156</v>
      </c>
      <c r="B16" s="23" t="n">
        <f aca="false">(B2+B9)/SUM(B2:B9)</f>
        <v>0.087</v>
      </c>
    </row>
    <row r="21" customFormat="false" ht="15.75" hidden="false" customHeight="true" outlineLevel="0" collapsed="false"/>
    <row r="22" customFormat="false" ht="15.75" hidden="false" customHeight="true" outlineLevel="0" collapsed="false"/>
    <row r="23" customFormat="false" ht="15.75" hidden="false" customHeight="true" outlineLevel="0" collapsed="false"/>
    <row r="24" customFormat="false" ht="15.75" hidden="false" customHeight="true" outlineLevel="0" collapsed="false"/>
    <row r="25" customFormat="false" ht="15.75" hidden="false" customHeight="true" outlineLevel="0" collapsed="false"/>
    <row r="26" customFormat="false" ht="15.75" hidden="false" customHeight="true" outlineLevel="0" collapsed="false"/>
    <row r="27" customFormat="false" ht="15.75" hidden="false" customHeight="true" outlineLevel="0" collapsed="false"/>
    <row r="28" customFormat="false" ht="15.75" hidden="false" customHeight="true" outlineLevel="0" collapsed="false"/>
    <row r="29" customFormat="false" ht="15.75" hidden="false" customHeight="true" outlineLevel="0" collapsed="false"/>
    <row r="30" customFormat="false" ht="15.75" hidden="false" customHeight="true" outlineLevel="0" collapsed="false"/>
    <row r="31" customFormat="false" ht="15.75" hidden="false" customHeight="true" outlineLevel="0" collapsed="false"/>
    <row r="32" customFormat="false" ht="15.75" hidden="false" customHeight="true" outlineLevel="0" collapsed="false"/>
    <row r="33" customFormat="false" ht="15.75" hidden="false" customHeight="true" outlineLevel="0" collapsed="false"/>
    <row r="34" customFormat="false" ht="15.75" hidden="false" customHeight="true" outlineLevel="0" collapsed="false"/>
    <row r="35" customFormat="false" ht="15.75" hidden="false" customHeight="true" outlineLevel="0" collapsed="false"/>
    <row r="36" customFormat="false" ht="15.75" hidden="false" customHeight="true" outlineLevel="0" collapsed="false"/>
    <row r="37" customFormat="false" ht="15.75" hidden="false" customHeight="true" outlineLevel="0" collapsed="false"/>
    <row r="38" customFormat="false" ht="15.75" hidden="false" customHeight="true" outlineLevel="0" collapsed="false"/>
    <row r="39" customFormat="false" ht="15.75" hidden="false" customHeight="true" outlineLevel="0" collapsed="false"/>
    <row r="40" customFormat="false" ht="15.75" hidden="false" customHeight="true" outlineLevel="0" collapsed="false"/>
    <row r="41" customFormat="false" ht="15.75" hidden="false" customHeight="true" outlineLevel="0" collapsed="false"/>
    <row r="42" customFormat="false" ht="15.75" hidden="false" customHeight="true" outlineLevel="0" collapsed="false"/>
    <row r="43" customFormat="false" ht="15.75" hidden="false" customHeight="true" outlineLevel="0" collapsed="false"/>
    <row r="44" customFormat="false" ht="15.75" hidden="false" customHeight="true" outlineLevel="0" collapsed="false"/>
    <row r="45" customFormat="false" ht="15.75" hidden="false" customHeight="true" outlineLevel="0" collapsed="false"/>
    <row r="46" customFormat="false" ht="15.75" hidden="false" customHeight="true" outlineLevel="0" collapsed="false"/>
    <row r="47" customFormat="false" ht="15.75" hidden="false" customHeight="true" outlineLevel="0" collapsed="false"/>
    <row r="48" customFormat="false" ht="15.75" hidden="false" customHeight="true" outlineLevel="0" collapsed="false"/>
    <row r="49" customFormat="false" ht="15.75" hidden="false" customHeight="true" outlineLevel="0" collapsed="false"/>
    <row r="50" customFormat="false" ht="15.75" hidden="false" customHeight="true" outlineLevel="0" collapsed="false"/>
    <row r="51" customFormat="false" ht="15.75" hidden="false" customHeight="true" outlineLevel="0" collapsed="false"/>
    <row r="52" customFormat="false" ht="15.75" hidden="false" customHeight="true" outlineLevel="0" collapsed="false"/>
    <row r="53" customFormat="false" ht="15.75" hidden="false" customHeight="true" outlineLevel="0" collapsed="false"/>
    <row r="54" customFormat="false" ht="15.75" hidden="false" customHeight="true" outlineLevel="0" collapsed="false"/>
    <row r="55" customFormat="false" ht="15.75" hidden="false" customHeight="true" outlineLevel="0" collapsed="false"/>
    <row r="56" customFormat="false" ht="15.75" hidden="false" customHeight="true" outlineLevel="0" collapsed="false"/>
    <row r="57" customFormat="false" ht="15.75" hidden="false" customHeight="true" outlineLevel="0" collapsed="false"/>
    <row r="58" customFormat="false" ht="15.75" hidden="false" customHeight="true" outlineLevel="0" collapsed="false"/>
    <row r="59" customFormat="false" ht="15.75" hidden="false" customHeight="true" outlineLevel="0" collapsed="false"/>
    <row r="60" customFormat="false" ht="15.75" hidden="false" customHeight="true" outlineLevel="0" collapsed="false"/>
    <row r="61" customFormat="false" ht="15.75" hidden="false" customHeight="true" outlineLevel="0" collapsed="false"/>
    <row r="62" customFormat="false" ht="15.75" hidden="false" customHeight="true" outlineLevel="0" collapsed="false"/>
    <row r="63" customFormat="false" ht="15.75" hidden="false" customHeight="true" outlineLevel="0" collapsed="false"/>
    <row r="64" customFormat="false" ht="15.75" hidden="false" customHeight="true" outlineLevel="0" collapsed="false"/>
    <row r="65" customFormat="false" ht="15.75" hidden="false" customHeight="true" outlineLevel="0" collapsed="false"/>
    <row r="66" customFormat="false" ht="15.75" hidden="false" customHeight="true" outlineLevel="0" collapsed="false"/>
    <row r="67" customFormat="false" ht="15.75" hidden="false" customHeight="true" outlineLevel="0" collapsed="false"/>
    <row r="68" customFormat="false" ht="15.75" hidden="false" customHeight="true" outlineLevel="0" collapsed="false"/>
    <row r="69" customFormat="false" ht="15.75" hidden="false" customHeight="true" outlineLevel="0" collapsed="false"/>
    <row r="70" customFormat="false" ht="15.75" hidden="false" customHeight="true" outlineLevel="0" collapsed="false"/>
    <row r="71" customFormat="false" ht="15.75" hidden="false" customHeight="true" outlineLevel="0" collapsed="false"/>
    <row r="72" customFormat="false" ht="15.75" hidden="false" customHeight="true" outlineLevel="0" collapsed="false"/>
    <row r="73" customFormat="false" ht="15.75" hidden="false" customHeight="true" outlineLevel="0" collapsed="false"/>
    <row r="74" customFormat="false" ht="15.75" hidden="false" customHeight="true" outlineLevel="0" collapsed="false"/>
    <row r="75" customFormat="false" ht="15.75" hidden="false" customHeight="true" outlineLevel="0" collapsed="false"/>
    <row r="76" customFormat="false" ht="15.75" hidden="false" customHeight="true" outlineLevel="0" collapsed="false"/>
    <row r="77" customFormat="false" ht="15.75" hidden="false" customHeight="true" outlineLevel="0" collapsed="false"/>
    <row r="78" customFormat="false" ht="15.75" hidden="false" customHeight="true" outlineLevel="0" collapsed="false"/>
    <row r="79" customFormat="false" ht="15.75" hidden="false" customHeight="true" outlineLevel="0" collapsed="false"/>
    <row r="80" customFormat="false" ht="15.75" hidden="false" customHeight="true" outlineLevel="0" collapsed="false"/>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4.43359375" defaultRowHeight="15" zeroHeight="false" outlineLevelRow="0" outlineLevelCol="0"/>
  <cols>
    <col collapsed="false" customWidth="true" hidden="false" outlineLevel="0" max="26" min="1" style="1" width="20"/>
  </cols>
  <sheetData>
    <row r="1" customFormat="false" ht="15" hidden="false" customHeight="true" outlineLevel="0" collapsed="false">
      <c r="A1" s="18" t="s">
        <v>1159</v>
      </c>
      <c r="B1" s="18" t="s">
        <v>1144</v>
      </c>
      <c r="C1" s="18" t="s">
        <v>1145</v>
      </c>
      <c r="D1" s="18" t="s">
        <v>1146</v>
      </c>
      <c r="F1" s="6" t="s">
        <v>1147</v>
      </c>
      <c r="G1" s="24" t="n">
        <f aca="false">'Central Tendency &amp; Dispersion'!$AB$7</f>
        <v>92.375</v>
      </c>
      <c r="H1" s="6" t="s">
        <v>1148</v>
      </c>
      <c r="I1" s="24" t="n">
        <f aca="false">'Central Tendency &amp; Dispersion'!$AC$7</f>
        <v>99.375</v>
      </c>
      <c r="K1" s="6" t="s">
        <v>1149</v>
      </c>
      <c r="L1" s="24" t="n">
        <f aca="false">MAX($G$1,MIN('Raw Data'!$H$2:$H$1001))</f>
        <v>92.375</v>
      </c>
      <c r="M1" s="6" t="s">
        <v>1150</v>
      </c>
      <c r="N1" s="24" t="n">
        <f aca="false">MIN($I$1,MAX('Raw Data'!$H$2:$H$1001))</f>
        <v>99.375</v>
      </c>
    </row>
    <row r="2" customFormat="false" ht="15" hidden="false" customHeight="true" outlineLevel="0" collapsed="false">
      <c r="A2" s="20" t="str">
        <f aca="false">"&lt; "&amp;TEXT(D2,"0.00")&amp;" (below fence)"</f>
        <v>&lt; 92.38 (below fence)</v>
      </c>
      <c r="B2" s="21" t="n">
        <f aca="false">COUNTIFS('Raw Data'!$H$2:$H$1001,"&gt;="&amp;C2,'Raw Data'!$H$2:$H$1001,"&lt;"&amp;D2)</f>
        <v>94</v>
      </c>
      <c r="C2" s="25" t="n">
        <f aca="false">MIN('Raw Data'!$H$2:$H$1001)</f>
        <v>87</v>
      </c>
      <c r="D2" s="25" t="n">
        <f aca="false">$L$1</f>
        <v>92.375</v>
      </c>
    </row>
    <row r="3" customFormat="false" ht="15" hidden="false" customHeight="true" outlineLevel="0" collapsed="false">
      <c r="A3" s="14" t="str">
        <f aca="false">TEXT(C3,"0.00")&amp;"–"&amp;TEXT(D3,"0.00")</f>
        <v>92.38–93.54</v>
      </c>
      <c r="B3" s="16" t="n">
        <f aca="false">COUNTIFS('Raw Data'!$H$2:$H$1001,"&gt;="&amp;C3,'Raw Data'!$H$2:$H$1001,"&lt;"&amp;D3)</f>
        <v>25</v>
      </c>
      <c r="C3" s="25" t="n">
        <f aca="false">D2</f>
        <v>92.375</v>
      </c>
      <c r="D3" s="25" t="n">
        <f aca="false">$L$1+(1)*($N$1-$L$1)/6</f>
        <v>93.5416666666667</v>
      </c>
    </row>
    <row r="4" customFormat="false" ht="15" hidden="false" customHeight="true" outlineLevel="0" collapsed="false">
      <c r="A4" s="14" t="str">
        <f aca="false">TEXT(C4,"0.00")&amp;"–"&amp;TEXT(D4,"0.00")</f>
        <v>93.54–94.71</v>
      </c>
      <c r="B4" s="16" t="n">
        <f aca="false">COUNTIFS('Raw Data'!$H$2:$H$1001,"&gt;="&amp;C4,'Raw Data'!$H$2:$H$1001,"&lt;"&amp;D4)</f>
        <v>108</v>
      </c>
      <c r="C4" s="25" t="n">
        <f aca="false">D3</f>
        <v>93.5416666666667</v>
      </c>
      <c r="D4" s="25" t="n">
        <f aca="false">$L$1+(2)*($N$1-$L$1)/6</f>
        <v>94.7083333333333</v>
      </c>
    </row>
    <row r="5" customFormat="false" ht="15" hidden="false" customHeight="true" outlineLevel="0" collapsed="false">
      <c r="A5" s="14" t="str">
        <f aca="false">TEXT(C5,"0.00")&amp;"–"&amp;TEXT(D5,"0.00")</f>
        <v>94.71–95.88</v>
      </c>
      <c r="B5" s="16" t="n">
        <f aca="false">COUNTIFS('Raw Data'!$H$2:$H$1001,"&gt;="&amp;C5,'Raw Data'!$H$2:$H$1001,"&lt;"&amp;D5)</f>
        <v>417</v>
      </c>
      <c r="C5" s="25" t="n">
        <f aca="false">D4</f>
        <v>94.7083333333333</v>
      </c>
      <c r="D5" s="25" t="n">
        <f aca="false">$L$1+(3)*($N$1-$L$1)/6</f>
        <v>95.875</v>
      </c>
    </row>
    <row r="6" customFormat="false" ht="15" hidden="false" customHeight="true" outlineLevel="0" collapsed="false">
      <c r="A6" s="14" t="str">
        <f aca="false">TEXT(C6,"0.00")&amp;"–"&amp;TEXT(D6,"0.00")</f>
        <v>95.88–97.04</v>
      </c>
      <c r="B6" s="16" t="n">
        <f aca="false">COUNTIFS('Raw Data'!$H$2:$H$1001,"&gt;="&amp;C6,'Raw Data'!$H$2:$H$1001,"&lt;"&amp;D6)</f>
        <v>126</v>
      </c>
      <c r="C6" s="25" t="n">
        <f aca="false">D5</f>
        <v>95.875</v>
      </c>
      <c r="D6" s="25" t="n">
        <f aca="false">$L$1+(4)*($N$1-$L$1)/6</f>
        <v>97.0416666666667</v>
      </c>
    </row>
    <row r="7" customFormat="false" ht="15" hidden="false" customHeight="true" outlineLevel="0" collapsed="false">
      <c r="A7" s="14" t="str">
        <f aca="false">TEXT(C7,"0.00")&amp;"–"&amp;TEXT(D7,"0.00")</f>
        <v>97.04–98.21</v>
      </c>
      <c r="B7" s="16" t="n">
        <f aca="false">COUNTIFS('Raw Data'!$H$2:$H$1001,"&gt;="&amp;C7,'Raw Data'!$H$2:$H$1001,"&lt;"&amp;D7)</f>
        <v>19</v>
      </c>
      <c r="C7" s="25" t="n">
        <f aca="false">D6</f>
        <v>97.0416666666667</v>
      </c>
      <c r="D7" s="25" t="n">
        <f aca="false">$L$1+(5)*($N$1-$L$1)/6</f>
        <v>98.2083333333333</v>
      </c>
    </row>
    <row r="8" customFormat="false" ht="15" hidden="false" customHeight="true" outlineLevel="0" collapsed="false">
      <c r="A8" s="14" t="str">
        <f aca="false">TEXT(C8,"0.00")&amp;"–"&amp;TEXT(D8,"0.00")</f>
        <v>98.21–99.38</v>
      </c>
      <c r="B8" s="16" t="n">
        <f aca="false">COUNTIFS('Raw Data'!$H$2:$H$1001,"&gt;="&amp;C8,'Raw Data'!$H$2:$H$1001,"&lt;="&amp;D8)</f>
        <v>10</v>
      </c>
      <c r="C8" s="25" t="n">
        <f aca="false">D7</f>
        <v>98.2083333333333</v>
      </c>
      <c r="D8" s="25" t="n">
        <f aca="false">$N$1</f>
        <v>99.375</v>
      </c>
    </row>
    <row r="9" customFormat="false" ht="15" hidden="false" customHeight="true" outlineLevel="0" collapsed="false">
      <c r="A9" s="20" t="str">
        <f aca="false">"&gt; "&amp;TEXT(C9,"0.00")&amp;" (above fence)"</f>
        <v>&gt; 99.38 (above fence)</v>
      </c>
      <c r="B9" s="21" t="n">
        <f aca="false">COUNTIFS('Raw Data'!$H$2:$H$1001,"&gt;"&amp;C9,'Raw Data'!$H$2:$H$1001,"&lt;="&amp;D9)</f>
        <v>196</v>
      </c>
      <c r="C9" s="25" t="n">
        <f aca="false">$N$1</f>
        <v>99.375</v>
      </c>
      <c r="D9" s="25" t="n">
        <f aca="false">MAX('Raw Data'!$H$2:$H$1001)</f>
        <v>8758</v>
      </c>
    </row>
    <row r="11" customFormat="false" ht="15" hidden="false" customHeight="true" outlineLevel="0" collapsed="false">
      <c r="A11" s="6" t="s">
        <v>1151</v>
      </c>
    </row>
    <row r="12" customFormat="false" ht="15" hidden="false" customHeight="true" outlineLevel="0" collapsed="false">
      <c r="A12" s="22" t="s">
        <v>1152</v>
      </c>
      <c r="B12" s="24" t="n">
        <f aca="false">G1</f>
        <v>92.375</v>
      </c>
    </row>
    <row r="13" customFormat="false" ht="15" hidden="false" customHeight="true" outlineLevel="0" collapsed="false">
      <c r="A13" s="22" t="s">
        <v>1153</v>
      </c>
      <c r="B13" s="24" t="n">
        <f aca="false">I1</f>
        <v>99.375</v>
      </c>
    </row>
    <row r="14" customFormat="false" ht="15" hidden="false" customHeight="true" outlineLevel="0" collapsed="false">
      <c r="A14" s="22" t="s">
        <v>1154</v>
      </c>
      <c r="B14" s="19" t="n">
        <f aca="false">B2</f>
        <v>94</v>
      </c>
    </row>
    <row r="15" customFormat="false" ht="15" hidden="false" customHeight="true" outlineLevel="0" collapsed="false">
      <c r="A15" s="22" t="s">
        <v>1155</v>
      </c>
      <c r="B15" s="19" t="n">
        <f aca="false">B9</f>
        <v>196</v>
      </c>
    </row>
    <row r="16" customFormat="false" ht="15" hidden="false" customHeight="true" outlineLevel="0" collapsed="false">
      <c r="A16" s="22" t="s">
        <v>1156</v>
      </c>
      <c r="B16" s="23" t="n">
        <f aca="false">(B2+B9)/SUM(B2:B9)</f>
        <v>0.291457286432161</v>
      </c>
    </row>
    <row r="21" customFormat="false" ht="15.75" hidden="false" customHeight="true" outlineLevel="0" collapsed="false"/>
    <row r="22" customFormat="false" ht="15.75" hidden="false" customHeight="true" outlineLevel="0" collapsed="false"/>
    <row r="23" customFormat="false" ht="15.75" hidden="false" customHeight="true" outlineLevel="0" collapsed="false"/>
    <row r="24" customFormat="false" ht="15.75" hidden="false" customHeight="true" outlineLevel="0" collapsed="false"/>
    <row r="25" customFormat="false" ht="15.75" hidden="false" customHeight="true" outlineLevel="0" collapsed="false"/>
    <row r="26" customFormat="false" ht="15.75" hidden="false" customHeight="true" outlineLevel="0" collapsed="false"/>
    <row r="27" customFormat="false" ht="15.75" hidden="false" customHeight="true" outlineLevel="0" collapsed="false"/>
    <row r="28" customFormat="false" ht="15.75" hidden="false" customHeight="true" outlineLevel="0" collapsed="false"/>
    <row r="29" customFormat="false" ht="15.75" hidden="false" customHeight="true" outlineLevel="0" collapsed="false"/>
    <row r="30" customFormat="false" ht="15.75" hidden="false" customHeight="true" outlineLevel="0" collapsed="false"/>
    <row r="31" customFormat="false" ht="15.75" hidden="false" customHeight="true" outlineLevel="0" collapsed="false"/>
    <row r="32" customFormat="false" ht="15.75" hidden="false" customHeight="true" outlineLevel="0" collapsed="false"/>
    <row r="33" customFormat="false" ht="15.75" hidden="false" customHeight="true" outlineLevel="0" collapsed="false"/>
    <row r="34" customFormat="false" ht="15.75" hidden="false" customHeight="true" outlineLevel="0" collapsed="false"/>
    <row r="35" customFormat="false" ht="15.75" hidden="false" customHeight="true" outlineLevel="0" collapsed="false"/>
    <row r="36" customFormat="false" ht="15.75" hidden="false" customHeight="true" outlineLevel="0" collapsed="false"/>
    <row r="37" customFormat="false" ht="15.75" hidden="false" customHeight="true" outlineLevel="0" collapsed="false"/>
    <row r="38" customFormat="false" ht="15.75" hidden="false" customHeight="true" outlineLevel="0" collapsed="false"/>
    <row r="39" customFormat="false" ht="15.75" hidden="false" customHeight="true" outlineLevel="0" collapsed="false"/>
    <row r="40" customFormat="false" ht="15.75" hidden="false" customHeight="true" outlineLevel="0" collapsed="false"/>
    <row r="41" customFormat="false" ht="15.75" hidden="false" customHeight="true" outlineLevel="0" collapsed="false"/>
    <row r="42" customFormat="false" ht="15.75" hidden="false" customHeight="true" outlineLevel="0" collapsed="false"/>
    <row r="43" customFormat="false" ht="15.75" hidden="false" customHeight="true" outlineLevel="0" collapsed="false"/>
    <row r="44" customFormat="false" ht="15.75" hidden="false" customHeight="true" outlineLevel="0" collapsed="false"/>
    <row r="45" customFormat="false" ht="15.75" hidden="false" customHeight="true" outlineLevel="0" collapsed="false"/>
    <row r="46" customFormat="false" ht="15.75" hidden="false" customHeight="true" outlineLevel="0" collapsed="false"/>
    <row r="47" customFormat="false" ht="15.75" hidden="false" customHeight="true" outlineLevel="0" collapsed="false"/>
    <row r="48" customFormat="false" ht="15.75" hidden="false" customHeight="true" outlineLevel="0" collapsed="false"/>
    <row r="49" customFormat="false" ht="15.75" hidden="false" customHeight="true" outlineLevel="0" collapsed="false"/>
    <row r="50" customFormat="false" ht="15.75" hidden="false" customHeight="true" outlineLevel="0" collapsed="false"/>
    <row r="51" customFormat="false" ht="15.75" hidden="false" customHeight="true" outlineLevel="0" collapsed="false"/>
    <row r="52" customFormat="false" ht="15.75" hidden="false" customHeight="true" outlineLevel="0" collapsed="false"/>
    <row r="53" customFormat="false" ht="15.75" hidden="false" customHeight="true" outlineLevel="0" collapsed="false"/>
    <row r="54" customFormat="false" ht="15.75" hidden="false" customHeight="true" outlineLevel="0" collapsed="false"/>
    <row r="55" customFormat="false" ht="15.75" hidden="false" customHeight="true" outlineLevel="0" collapsed="false"/>
    <row r="56" customFormat="false" ht="15.75" hidden="false" customHeight="true" outlineLevel="0" collapsed="false"/>
    <row r="57" customFormat="false" ht="15.75" hidden="false" customHeight="true" outlineLevel="0" collapsed="false"/>
    <row r="58" customFormat="false" ht="15.75" hidden="false" customHeight="true" outlineLevel="0" collapsed="false"/>
    <row r="59" customFormat="false" ht="15.75" hidden="false" customHeight="true" outlineLevel="0" collapsed="false"/>
    <row r="60" customFormat="false" ht="15.75" hidden="false" customHeight="true" outlineLevel="0" collapsed="false"/>
    <row r="61" customFormat="false" ht="15.75" hidden="false" customHeight="true" outlineLevel="0" collapsed="false"/>
    <row r="62" customFormat="false" ht="15.75" hidden="false" customHeight="true" outlineLevel="0" collapsed="false"/>
    <row r="63" customFormat="false" ht="15.75" hidden="false" customHeight="true" outlineLevel="0" collapsed="false"/>
    <row r="64" customFormat="false" ht="15.75" hidden="false" customHeight="true" outlineLevel="0" collapsed="false"/>
    <row r="65" customFormat="false" ht="15.75" hidden="false" customHeight="true" outlineLevel="0" collapsed="false"/>
    <row r="66" customFormat="false" ht="15.75" hidden="false" customHeight="true" outlineLevel="0" collapsed="false"/>
    <row r="67" customFormat="false" ht="15.75" hidden="false" customHeight="true" outlineLevel="0" collapsed="false"/>
    <row r="68" customFormat="false" ht="15.75" hidden="false" customHeight="true" outlineLevel="0" collapsed="false"/>
    <row r="69" customFormat="false" ht="15.75" hidden="false" customHeight="true" outlineLevel="0" collapsed="false"/>
    <row r="70" customFormat="false" ht="15.75" hidden="false" customHeight="true" outlineLevel="0" collapsed="false"/>
    <row r="71" customFormat="false" ht="15.75" hidden="false" customHeight="true" outlineLevel="0" collapsed="false"/>
    <row r="72" customFormat="false" ht="15.75" hidden="false" customHeight="true" outlineLevel="0" collapsed="false"/>
    <row r="73" customFormat="false" ht="15.75" hidden="false" customHeight="true" outlineLevel="0" collapsed="false"/>
    <row r="74" customFormat="false" ht="15.75" hidden="false" customHeight="true" outlineLevel="0" collapsed="false"/>
    <row r="75" customFormat="false" ht="15.75" hidden="false" customHeight="true" outlineLevel="0" collapsed="false"/>
    <row r="76" customFormat="false" ht="15.75" hidden="false" customHeight="true" outlineLevel="0" collapsed="false"/>
    <row r="77" customFormat="false" ht="15.75" hidden="false" customHeight="true" outlineLevel="0" collapsed="false"/>
    <row r="78" customFormat="false" ht="15.75" hidden="false" customHeight="true" outlineLevel="0" collapsed="false"/>
    <row r="79" customFormat="false" ht="15.75" hidden="false" customHeight="true" outlineLevel="0" collapsed="false"/>
    <row r="80" customFormat="false" ht="15.75" hidden="false" customHeight="true" outlineLevel="0" collapsed="false"/>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4.43359375" defaultRowHeight="15" zeroHeight="false" outlineLevelRow="0" outlineLevelCol="0"/>
  <cols>
    <col collapsed="false" customWidth="true" hidden="false" outlineLevel="0" max="26" min="1" style="1" width="20"/>
  </cols>
  <sheetData>
    <row r="1" customFormat="false" ht="15" hidden="false" customHeight="true" outlineLevel="0" collapsed="false">
      <c r="A1" s="18" t="s">
        <v>1160</v>
      </c>
      <c r="B1" s="18" t="s">
        <v>1144</v>
      </c>
      <c r="C1" s="18" t="s">
        <v>1145</v>
      </c>
      <c r="D1" s="18" t="s">
        <v>1146</v>
      </c>
      <c r="F1" s="6" t="s">
        <v>1147</v>
      </c>
      <c r="G1" s="19" t="n">
        <f aca="false">'Central Tendency &amp; Dispersion'!$AB$8</f>
        <v>-65</v>
      </c>
      <c r="H1" s="6" t="s">
        <v>1148</v>
      </c>
      <c r="I1" s="19" t="n">
        <f aca="false">'Central Tendency &amp; Dispersion'!$AC$8</f>
        <v>503</v>
      </c>
      <c r="K1" s="6" t="s">
        <v>1149</v>
      </c>
      <c r="L1" s="19" t="n">
        <f aca="false">MAX($G$1,MIN('Raw Data'!$I$2:$I$1001))</f>
        <v>1</v>
      </c>
      <c r="M1" s="6" t="s">
        <v>1150</v>
      </c>
      <c r="N1" s="19" t="n">
        <f aca="false">MIN($I$1,MAX('Raw Data'!$I$2:$I$1001))</f>
        <v>503</v>
      </c>
    </row>
    <row r="2" customFormat="false" ht="15" hidden="false" customHeight="true" outlineLevel="0" collapsed="false">
      <c r="A2" s="20" t="str">
        <f aca="false">"&lt; "&amp;TEXT(D2,"#,##0")&amp;" (below fence)"</f>
        <v>&lt; 1 (below fence)</v>
      </c>
      <c r="B2" s="21" t="n">
        <f aca="false">COUNTIFS('Raw Data'!$I$2:$I$1001,"&gt;="&amp;C2,'Raw Data'!$I$2:$I$1001,"&lt;"&amp;D2)</f>
        <v>0</v>
      </c>
      <c r="C2" s="16" t="n">
        <f aca="false">MIN('Raw Data'!$I$2:$I$1001)</f>
        <v>1</v>
      </c>
      <c r="D2" s="16" t="n">
        <f aca="false">$L$1</f>
        <v>1</v>
      </c>
    </row>
    <row r="3" customFormat="false" ht="15" hidden="false" customHeight="true" outlineLevel="0" collapsed="false">
      <c r="A3" s="14" t="str">
        <f aca="false">TEXT(C3,"#,##0")&amp;"–"&amp;TEXT(D3,"#,##0")</f>
        <v>1–85</v>
      </c>
      <c r="B3" s="16" t="n">
        <f aca="false">COUNTIFS('Raw Data'!$I$2:$I$1001,"&gt;="&amp;C3,'Raw Data'!$I$2:$I$1001,"&lt;"&amp;D3)</f>
        <v>185</v>
      </c>
      <c r="C3" s="16" t="n">
        <f aca="false">D2</f>
        <v>1</v>
      </c>
      <c r="D3" s="16" t="n">
        <f aca="false">$L$1+(1)*($N$1-$L$1)/6</f>
        <v>84.6666666666667</v>
      </c>
    </row>
    <row r="4" customFormat="false" ht="15" hidden="false" customHeight="true" outlineLevel="0" collapsed="false">
      <c r="A4" s="14" t="str">
        <f aca="false">TEXT(C4,"#,##0")&amp;"–"&amp;TEXT(D4,"#,##0")</f>
        <v>85–168</v>
      </c>
      <c r="B4" s="16" t="n">
        <f aca="false">COUNTIFS('Raw Data'!$I$2:$I$1001,"&gt;="&amp;C4,'Raw Data'!$I$2:$I$1001,"&lt;"&amp;D4)</f>
        <v>86</v>
      </c>
      <c r="C4" s="16" t="n">
        <f aca="false">D3</f>
        <v>84.6666666666667</v>
      </c>
      <c r="D4" s="16" t="n">
        <f aca="false">$L$1+(2)*($N$1-$L$1)/6</f>
        <v>168.333333333333</v>
      </c>
    </row>
    <row r="5" customFormat="false" ht="15" hidden="false" customHeight="true" outlineLevel="0" collapsed="false">
      <c r="A5" s="14" t="str">
        <f aca="false">TEXT(C5,"#,##0")&amp;"–"&amp;TEXT(D5,"#,##0")</f>
        <v>168–252</v>
      </c>
      <c r="B5" s="16" t="n">
        <f aca="false">COUNTIFS('Raw Data'!$I$2:$I$1001,"&gt;="&amp;C5,'Raw Data'!$I$2:$I$1001,"&lt;"&amp;D5)</f>
        <v>68</v>
      </c>
      <c r="C5" s="16" t="n">
        <f aca="false">D4</f>
        <v>168.333333333333</v>
      </c>
      <c r="D5" s="16" t="n">
        <f aca="false">$L$1+(3)*($N$1-$L$1)/6</f>
        <v>252</v>
      </c>
    </row>
    <row r="6" customFormat="false" ht="15" hidden="false" customHeight="true" outlineLevel="0" collapsed="false">
      <c r="A6" s="14" t="str">
        <f aca="false">TEXT(C6,"#,##0")&amp;"–"&amp;TEXT(D6,"#,##0")</f>
        <v>252–336</v>
      </c>
      <c r="B6" s="16" t="n">
        <f aca="false">COUNTIFS('Raw Data'!$I$2:$I$1001,"&gt;="&amp;C6,'Raw Data'!$I$2:$I$1001,"&lt;"&amp;D6)</f>
        <v>444</v>
      </c>
      <c r="C6" s="16" t="n">
        <f aca="false">D5</f>
        <v>252</v>
      </c>
      <c r="D6" s="16" t="n">
        <f aca="false">$L$1+(4)*($N$1-$L$1)/6</f>
        <v>335.666666666667</v>
      </c>
    </row>
    <row r="7" customFormat="false" ht="15" hidden="false" customHeight="true" outlineLevel="0" collapsed="false">
      <c r="A7" s="14" t="str">
        <f aca="false">TEXT(C7,"#,##0")&amp;"–"&amp;TEXT(D7,"#,##0")</f>
        <v>336–419</v>
      </c>
      <c r="B7" s="16" t="n">
        <f aca="false">COUNTIFS('Raw Data'!$I$2:$I$1001,"&gt;="&amp;C7,'Raw Data'!$I$2:$I$1001,"&lt;"&amp;D7)</f>
        <v>5</v>
      </c>
      <c r="C7" s="16" t="n">
        <f aca="false">D6</f>
        <v>335.666666666667</v>
      </c>
      <c r="D7" s="16" t="n">
        <f aca="false">$L$1+(5)*($N$1-$L$1)/6</f>
        <v>419.333333333333</v>
      </c>
    </row>
    <row r="8" customFormat="false" ht="15" hidden="false" customHeight="true" outlineLevel="0" collapsed="false">
      <c r="A8" s="14" t="str">
        <f aca="false">TEXT(C8,"#,##0")&amp;"–"&amp;TEXT(D8,"#,##0")</f>
        <v>419–503</v>
      </c>
      <c r="B8" s="16" t="n">
        <f aca="false">COUNTIFS('Raw Data'!$I$2:$I$1001,"&gt;="&amp;C8,'Raw Data'!$I$2:$I$1001,"&lt;="&amp;D8)</f>
        <v>4</v>
      </c>
      <c r="C8" s="16" t="n">
        <f aca="false">D7</f>
        <v>419.333333333333</v>
      </c>
      <c r="D8" s="16" t="n">
        <f aca="false">$N$1</f>
        <v>503</v>
      </c>
    </row>
    <row r="9" customFormat="false" ht="15" hidden="false" customHeight="true" outlineLevel="0" collapsed="false">
      <c r="A9" s="20" t="str">
        <f aca="false">"&gt; "&amp;TEXT(C9,"#,##0")&amp;" (above fence)"</f>
        <v>&gt; 503 (above fence)</v>
      </c>
      <c r="B9" s="21" t="n">
        <f aca="false">COUNTIFS('Raw Data'!$I$2:$I$1001,"&gt;"&amp;C9,'Raw Data'!$I$2:$I$1001,"&lt;="&amp;D9)</f>
        <v>175</v>
      </c>
      <c r="C9" s="16" t="n">
        <f aca="false">$N$1</f>
        <v>503</v>
      </c>
      <c r="D9" s="16" t="n">
        <f aca="false">MAX('Raw Data'!$I$2:$I$1001)</f>
        <v>20000</v>
      </c>
    </row>
    <row r="11" customFormat="false" ht="15" hidden="false" customHeight="true" outlineLevel="0" collapsed="false">
      <c r="A11" s="6" t="s">
        <v>1151</v>
      </c>
    </row>
    <row r="12" customFormat="false" ht="15" hidden="false" customHeight="true" outlineLevel="0" collapsed="false">
      <c r="A12" s="22" t="s">
        <v>1152</v>
      </c>
      <c r="B12" s="19" t="n">
        <f aca="false">G1</f>
        <v>-65</v>
      </c>
    </row>
    <row r="13" customFormat="false" ht="15" hidden="false" customHeight="true" outlineLevel="0" collapsed="false">
      <c r="A13" s="22" t="s">
        <v>1153</v>
      </c>
      <c r="B13" s="19" t="n">
        <f aca="false">I1</f>
        <v>503</v>
      </c>
    </row>
    <row r="14" customFormat="false" ht="15" hidden="false" customHeight="true" outlineLevel="0" collapsed="false">
      <c r="A14" s="22" t="s">
        <v>1154</v>
      </c>
      <c r="B14" s="19" t="n">
        <f aca="false">B2</f>
        <v>0</v>
      </c>
    </row>
    <row r="15" customFormat="false" ht="15" hidden="false" customHeight="true" outlineLevel="0" collapsed="false">
      <c r="A15" s="22" t="s">
        <v>1155</v>
      </c>
      <c r="B15" s="19" t="n">
        <f aca="false">B9</f>
        <v>175</v>
      </c>
    </row>
    <row r="16" customFormat="false" ht="15" hidden="false" customHeight="true" outlineLevel="0" collapsed="false">
      <c r="A16" s="22" t="s">
        <v>1156</v>
      </c>
      <c r="B16" s="23" t="n">
        <f aca="false">(B2+B9)/SUM(B2:B9)</f>
        <v>0.180972078593588</v>
      </c>
    </row>
    <row r="21" customFormat="false" ht="15.75" hidden="false" customHeight="true" outlineLevel="0" collapsed="false"/>
    <row r="22" customFormat="false" ht="15.75" hidden="false" customHeight="true" outlineLevel="0" collapsed="false"/>
    <row r="23" customFormat="false" ht="15.75" hidden="false" customHeight="true" outlineLevel="0" collapsed="false"/>
    <row r="24" customFormat="false" ht="15.75" hidden="false" customHeight="true" outlineLevel="0" collapsed="false"/>
    <row r="25" customFormat="false" ht="15.75" hidden="false" customHeight="true" outlineLevel="0" collapsed="false"/>
    <row r="26" customFormat="false" ht="15.75" hidden="false" customHeight="true" outlineLevel="0" collapsed="false"/>
    <row r="27" customFormat="false" ht="15.75" hidden="false" customHeight="true" outlineLevel="0" collapsed="false"/>
    <row r="28" customFormat="false" ht="15.75" hidden="false" customHeight="true" outlineLevel="0" collapsed="false"/>
    <row r="29" customFormat="false" ht="15.75" hidden="false" customHeight="true" outlineLevel="0" collapsed="false"/>
    <row r="30" customFormat="false" ht="15.75" hidden="false" customHeight="true" outlineLevel="0" collapsed="false"/>
    <row r="31" customFormat="false" ht="15.75" hidden="false" customHeight="true" outlineLevel="0" collapsed="false"/>
    <row r="32" customFormat="false" ht="15.75" hidden="false" customHeight="true" outlineLevel="0" collapsed="false"/>
    <row r="33" customFormat="false" ht="15.75" hidden="false" customHeight="true" outlineLevel="0" collapsed="false"/>
    <row r="34" customFormat="false" ht="15.75" hidden="false" customHeight="true" outlineLevel="0" collapsed="false"/>
    <row r="35" customFormat="false" ht="15.75" hidden="false" customHeight="true" outlineLevel="0" collapsed="false"/>
    <row r="36" customFormat="false" ht="15.75" hidden="false" customHeight="true" outlineLevel="0" collapsed="false"/>
    <row r="37" customFormat="false" ht="15.75" hidden="false" customHeight="true" outlineLevel="0" collapsed="false"/>
    <row r="38" customFormat="false" ht="15.75" hidden="false" customHeight="true" outlineLevel="0" collapsed="false"/>
    <row r="39" customFormat="false" ht="15.75" hidden="false" customHeight="true" outlineLevel="0" collapsed="false"/>
    <row r="40" customFormat="false" ht="15.75" hidden="false" customHeight="true" outlineLevel="0" collapsed="false"/>
    <row r="41" customFormat="false" ht="15.75" hidden="false" customHeight="true" outlineLevel="0" collapsed="false"/>
    <row r="42" customFormat="false" ht="15.75" hidden="false" customHeight="true" outlineLevel="0" collapsed="false"/>
    <row r="43" customFormat="false" ht="15.75" hidden="false" customHeight="true" outlineLevel="0" collapsed="false"/>
    <row r="44" customFormat="false" ht="15.75" hidden="false" customHeight="true" outlineLevel="0" collapsed="false"/>
    <row r="45" customFormat="false" ht="15.75" hidden="false" customHeight="true" outlineLevel="0" collapsed="false"/>
    <row r="46" customFormat="false" ht="15.75" hidden="false" customHeight="true" outlineLevel="0" collapsed="false"/>
    <row r="47" customFormat="false" ht="15.75" hidden="false" customHeight="true" outlineLevel="0" collapsed="false"/>
    <row r="48" customFormat="false" ht="15.75" hidden="false" customHeight="true" outlineLevel="0" collapsed="false"/>
    <row r="49" customFormat="false" ht="15.75" hidden="false" customHeight="true" outlineLevel="0" collapsed="false"/>
    <row r="50" customFormat="false" ht="15.75" hidden="false" customHeight="true" outlineLevel="0" collapsed="false"/>
    <row r="51" customFormat="false" ht="15.75" hidden="false" customHeight="true" outlineLevel="0" collapsed="false"/>
    <row r="52" customFormat="false" ht="15.75" hidden="false" customHeight="true" outlineLevel="0" collapsed="false"/>
    <row r="53" customFormat="false" ht="15.75" hidden="false" customHeight="true" outlineLevel="0" collapsed="false"/>
    <row r="54" customFormat="false" ht="15.75" hidden="false" customHeight="true" outlineLevel="0" collapsed="false"/>
    <row r="55" customFormat="false" ht="15.75" hidden="false" customHeight="true" outlineLevel="0" collapsed="false"/>
    <row r="56" customFormat="false" ht="15.75" hidden="false" customHeight="true" outlineLevel="0" collapsed="false"/>
    <row r="57" customFormat="false" ht="15.75" hidden="false" customHeight="true" outlineLevel="0" collapsed="false"/>
    <row r="58" customFormat="false" ht="15.75" hidden="false" customHeight="true" outlineLevel="0" collapsed="false"/>
    <row r="59" customFormat="false" ht="15.75" hidden="false" customHeight="true" outlineLevel="0" collapsed="false"/>
    <row r="60" customFormat="false" ht="15.75" hidden="false" customHeight="true" outlineLevel="0" collapsed="false"/>
    <row r="61" customFormat="false" ht="15.75" hidden="false" customHeight="true" outlineLevel="0" collapsed="false"/>
    <row r="62" customFormat="false" ht="15.75" hidden="false" customHeight="true" outlineLevel="0" collapsed="false"/>
    <row r="63" customFormat="false" ht="15.75" hidden="false" customHeight="true" outlineLevel="0" collapsed="false"/>
    <row r="64" customFormat="false" ht="15.75" hidden="false" customHeight="true" outlineLevel="0" collapsed="false"/>
    <row r="65" customFormat="false" ht="15.75" hidden="false" customHeight="true" outlineLevel="0" collapsed="false"/>
    <row r="66" customFormat="false" ht="15.75" hidden="false" customHeight="true" outlineLevel="0" collapsed="false"/>
    <row r="67" customFormat="false" ht="15.75" hidden="false" customHeight="true" outlineLevel="0" collapsed="false"/>
    <row r="68" customFormat="false" ht="15.75" hidden="false" customHeight="true" outlineLevel="0" collapsed="false"/>
    <row r="69" customFormat="false" ht="15.75" hidden="false" customHeight="true" outlineLevel="0" collapsed="false"/>
    <row r="70" customFormat="false" ht="15.75" hidden="false" customHeight="true" outlineLevel="0" collapsed="false"/>
    <row r="71" customFormat="false" ht="15.75" hidden="false" customHeight="true" outlineLevel="0" collapsed="false"/>
    <row r="72" customFormat="false" ht="15.75" hidden="false" customHeight="true" outlineLevel="0" collapsed="false"/>
    <row r="73" customFormat="false" ht="15.75" hidden="false" customHeight="true" outlineLevel="0" collapsed="false"/>
    <row r="74" customFormat="false" ht="15.75" hidden="false" customHeight="true" outlineLevel="0" collapsed="false"/>
    <row r="75" customFormat="false" ht="15.75" hidden="false" customHeight="true" outlineLevel="0" collapsed="false"/>
    <row r="76" customFormat="false" ht="15.75" hidden="false" customHeight="true" outlineLevel="0" collapsed="false"/>
    <row r="77" customFormat="false" ht="15.75" hidden="false" customHeight="true" outlineLevel="0" collapsed="false"/>
    <row r="78" customFormat="false" ht="15.75" hidden="false" customHeight="true" outlineLevel="0" collapsed="false"/>
    <row r="79" customFormat="false" ht="15.75" hidden="false" customHeight="true" outlineLevel="0" collapsed="false"/>
    <row r="80" customFormat="false" ht="15.75" hidden="false" customHeight="true" outlineLevel="0" collapsed="false"/>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4.43359375" defaultRowHeight="15" zeroHeight="false" outlineLevelRow="0" outlineLevelCol="0"/>
  <cols>
    <col collapsed="false" customWidth="true" hidden="false" outlineLevel="0" max="26" min="1" style="1" width="8.71"/>
  </cols>
  <sheetData>
    <row r="1" customFormat="false" ht="15" hidden="false" customHeight="true" outlineLevel="0" collapsed="false">
      <c r="A1" s="26" t="s">
        <v>1</v>
      </c>
      <c r="B1" s="26" t="s">
        <v>1094</v>
      </c>
    </row>
    <row r="2" customFormat="false" ht="15" hidden="false" customHeight="true" outlineLevel="0" collapsed="false">
      <c r="A2" s="1" t="str">
        <f aca="false">INDEX('Central Tendency &amp; Dispersion'!$N$2:$N$54,MATCH(1,'Central Tendency &amp; Dispersion'!$P$2:$P$54,0))</f>
        <v>USA</v>
      </c>
      <c r="B2" s="1" t="n">
        <f aca="false">INDEX('Central Tendency &amp; Dispersion'!$O$2:$O$54,MATCH(1,'Central Tendency &amp; Dispersion'!$P$2:$P$54,0))</f>
        <v>669</v>
      </c>
    </row>
    <row r="3" customFormat="false" ht="15" hidden="false" customHeight="true" outlineLevel="0" collapsed="false">
      <c r="A3" s="1" t="str">
        <f aca="false">INDEX('Central Tendency &amp; Dispersion'!$N$2:$N$54,MATCH(2,'Central Tendency &amp; Dispersion'!$P$2:$P$54,0))</f>
        <v>United Kingdom</v>
      </c>
      <c r="B3" s="1" t="n">
        <f aca="false">INDEX('Central Tendency &amp; Dispersion'!$O$2:$O$54,MATCH(2,'Central Tendency &amp; Dispersion'!$P$2:$P$54,0))</f>
        <v>85</v>
      </c>
    </row>
    <row r="4" customFormat="false" ht="15" hidden="false" customHeight="true" outlineLevel="0" collapsed="false">
      <c r="A4" s="1" t="str">
        <f aca="false">INDEX('Central Tendency &amp; Dispersion'!$N$2:$N$54,MATCH(3,'Central Tendency &amp; Dispersion'!$P$2:$P$54,0))</f>
        <v>China</v>
      </c>
      <c r="B4" s="1" t="n">
        <f aca="false">INDEX('Central Tendency &amp; Dispersion'!$O$2:$O$54,MATCH(3,'Central Tendency &amp; Dispersion'!$P$2:$P$54,0))</f>
        <v>77</v>
      </c>
    </row>
    <row r="5" customFormat="false" ht="15" hidden="false" customHeight="true" outlineLevel="0" collapsed="false">
      <c r="A5" s="1" t="str">
        <f aca="false">INDEX('Central Tendency &amp; Dispersion'!$N$2:$N$54,MATCH(4,'Central Tendency &amp; Dispersion'!$P$2:$P$54,0))</f>
        <v>Russia</v>
      </c>
      <c r="B5" s="1" t="n">
        <f aca="false">INDEX('Central Tendency &amp; Dispersion'!$O$2:$O$54,MATCH(4,'Central Tendency &amp; Dispersion'!$P$2:$P$54,0))</f>
        <v>30</v>
      </c>
    </row>
    <row r="6" customFormat="false" ht="15" hidden="false" customHeight="true" outlineLevel="0" collapsed="false">
      <c r="A6" s="1" t="str">
        <f aca="false">INDEX('Central Tendency &amp; Dispersion'!$N$2:$N$54,MATCH(5,'Central Tendency &amp; Dispersion'!$P$2:$P$54,0))</f>
        <v>Canada</v>
      </c>
      <c r="B6" s="1" t="n">
        <f aca="false">INDEX('Central Tendency &amp; Dispersion'!$O$2:$O$54,MATCH(5,'Central Tendency &amp; Dispersion'!$P$2:$P$54,0))</f>
        <v>11</v>
      </c>
    </row>
    <row r="7" customFormat="false" ht="15" hidden="false" customHeight="true" outlineLevel="0" collapsed="false">
      <c r="A7" s="1" t="str">
        <f aca="false">INDEX('Central Tendency &amp; Dispersion'!$N$2:$N$54,MATCH(6,'Central Tendency &amp; Dispersion'!$P$2:$P$54,0))</f>
        <v>India</v>
      </c>
      <c r="B7" s="1" t="n">
        <f aca="false">INDEX('Central Tendency &amp; Dispersion'!$O$2:$O$54,MATCH(6,'Central Tendency &amp; Dispersion'!$P$2:$P$54,0))</f>
        <v>11</v>
      </c>
    </row>
    <row r="8" customFormat="false" ht="15" hidden="false" customHeight="true" outlineLevel="0" collapsed="false">
      <c r="A8" s="1" t="str">
        <f aca="false">INDEX('Central Tendency &amp; Dispersion'!$N$2:$N$54,MATCH(7,'Central Tendency &amp; Dispersion'!$P$2:$P$54,0))</f>
        <v>Japan</v>
      </c>
      <c r="B8" s="1" t="n">
        <f aca="false">INDEX('Central Tendency &amp; Dispersion'!$O$2:$O$54,MATCH(7,'Central Tendency &amp; Dispersion'!$P$2:$P$54,0))</f>
        <v>11</v>
      </c>
    </row>
    <row r="9" customFormat="false" ht="15" hidden="false" customHeight="true" outlineLevel="0" collapsed="false">
      <c r="A9" s="1" t="str">
        <f aca="false">INDEX('Central Tendency &amp; Dispersion'!$N$2:$N$54,MATCH(8,'Central Tendency &amp; Dispersion'!$P$2:$P$54,0))</f>
        <v>Multinational</v>
      </c>
      <c r="B9" s="1" t="n">
        <f aca="false">INDEX('Central Tendency &amp; Dispersion'!$O$2:$O$54,MATCH(8,'Central Tendency &amp; Dispersion'!$P$2:$P$54,0))</f>
        <v>10</v>
      </c>
    </row>
    <row r="10" customFormat="false" ht="15" hidden="false" customHeight="true" outlineLevel="0" collapsed="false">
      <c r="A10" s="1" t="str">
        <f aca="false">INDEX('Central Tendency &amp; Dispersion'!$N$2:$N$54,MATCH(9,'Central Tendency &amp; Dispersion'!$P$2:$P$54,0))</f>
        <v>Argentina</v>
      </c>
      <c r="B10" s="1" t="n">
        <f aca="false">INDEX('Central Tendency &amp; Dispersion'!$O$2:$O$54,MATCH(9,'Central Tendency &amp; Dispersion'!$P$2:$P$54,0))</f>
        <v>8</v>
      </c>
    </row>
    <row r="11" customFormat="false" ht="15" hidden="false" customHeight="true" outlineLevel="0" collapsed="false">
      <c r="A11" s="1" t="str">
        <f aca="false">INDEX('Central Tendency &amp; Dispersion'!$N$2:$N$54,MATCH(10,'Central Tendency &amp; Dispersion'!$P$2:$P$54,0))</f>
        <v>Luxembourg</v>
      </c>
      <c r="B11" s="1" t="n">
        <f aca="false">INDEX('Central Tendency &amp; Dispersion'!$O$2:$O$54,MATCH(10,'Central Tendency &amp; Dispersion'!$P$2:$P$54,0))</f>
        <v>8</v>
      </c>
    </row>
    <row r="12" customFormat="false" ht="15" hidden="false" customHeight="true" outlineLevel="0" collapsed="false">
      <c r="A12" s="1" t="str">
        <f aca="false">INDEX('Central Tendency &amp; Dispersion'!$N$2:$N$54,MATCH(11,'Central Tendency &amp; Dispersion'!$P$2:$P$54,0))</f>
        <v>ESA</v>
      </c>
      <c r="B12" s="1" t="n">
        <f aca="false">INDEX('Central Tendency &amp; Dispersion'!$O$2:$O$54,MATCH(11,'Central Tendency &amp; Dispersion'!$P$2:$P$54,0))</f>
        <v>7</v>
      </c>
    </row>
    <row r="13" customFormat="false" ht="15" hidden="false" customHeight="true" outlineLevel="0" collapsed="false">
      <c r="A13" s="1" t="str">
        <f aca="false">INDEX('Central Tendency &amp; Dispersion'!$N$2:$N$54,MATCH(12,'Central Tendency &amp; Dispersion'!$P$2:$P$54,0))</f>
        <v>Germany</v>
      </c>
      <c r="B13" s="1" t="n">
        <f aca="false">INDEX('Central Tendency &amp; Dispersion'!$O$2:$O$54,MATCH(12,'Central Tendency &amp; Dispersion'!$P$2:$P$54,0))</f>
        <v>5</v>
      </c>
    </row>
    <row r="14" customFormat="false" ht="15" hidden="false" customHeight="true" outlineLevel="0" collapsed="false">
      <c r="A14" s="1" t="str">
        <f aca="false">INDEX('Central Tendency &amp; Dispersion'!$N$2:$N$54,MATCH(13,'Central Tendency &amp; Dispersion'!$P$2:$P$54,0))</f>
        <v>Australia</v>
      </c>
      <c r="B14" s="1" t="n">
        <f aca="false">INDEX('Central Tendency &amp; Dispersion'!$O$2:$O$54,MATCH(13,'Central Tendency &amp; Dispersion'!$P$2:$P$54,0))</f>
        <v>4</v>
      </c>
    </row>
    <row r="15" customFormat="false" ht="15" hidden="false" customHeight="true" outlineLevel="0" collapsed="false">
      <c r="A15" s="1" t="str">
        <f aca="false">INDEX('Central Tendency &amp; Dispersion'!$N$2:$N$54,MATCH(14,'Central Tendency &amp; Dispersion'!$P$2:$P$54,0))</f>
        <v>Brazil</v>
      </c>
      <c r="B15" s="1" t="n">
        <f aca="false">INDEX('Central Tendency &amp; Dispersion'!$O$2:$O$54,MATCH(14,'Central Tendency &amp; Dispersion'!$P$2:$P$54,0))</f>
        <v>4</v>
      </c>
    </row>
    <row r="16" customFormat="false" ht="15" hidden="false" customHeight="true" outlineLevel="0" collapsed="false">
      <c r="A16" s="1" t="str">
        <f aca="false">INDEX('Central Tendency &amp; Dispersion'!$N$2:$N$54,MATCH(15,'Central Tendency &amp; Dispersion'!$P$2:$P$54,0))</f>
        <v>France</v>
      </c>
      <c r="B16" s="1" t="n">
        <f aca="false">INDEX('Central Tendency &amp; Dispersion'!$O$2:$O$54,MATCH(15,'Central Tendency &amp; Dispersion'!$P$2:$P$54,0))</f>
        <v>4</v>
      </c>
    </row>
    <row r="17" customFormat="false" ht="15" hidden="false" customHeight="true" outlineLevel="0" collapsed="false">
      <c r="A17" s="1" t="str">
        <f aca="false">"Other ("&amp;(COUNTA('Central Tendency &amp; Dispersion'!$N$2:$N$54)-15)&amp;" countries)"</f>
        <v>Other (38 countries)</v>
      </c>
      <c r="B17" s="1" t="n">
        <f aca="false">SUM('Central Tendency &amp; Dispersion'!$O$2:$O$54)-SUM(B2:B16)</f>
        <v>56</v>
      </c>
    </row>
    <row r="21" customFormat="false" ht="15.75" hidden="false" customHeight="true" outlineLevel="0" collapsed="false"/>
    <row r="22" customFormat="false" ht="15.75" hidden="false" customHeight="true" outlineLevel="0" collapsed="false"/>
    <row r="23" customFormat="false" ht="15.75" hidden="false" customHeight="true" outlineLevel="0" collapsed="false"/>
    <row r="24" customFormat="false" ht="15.75" hidden="false" customHeight="true" outlineLevel="0" collapsed="false"/>
    <row r="25" customFormat="false" ht="15.75" hidden="false" customHeight="true" outlineLevel="0" collapsed="false"/>
    <row r="26" customFormat="false" ht="15.75" hidden="false" customHeight="true" outlineLevel="0" collapsed="false"/>
    <row r="27" customFormat="false" ht="15.75" hidden="false" customHeight="true" outlineLevel="0" collapsed="false"/>
    <row r="28" customFormat="false" ht="15.75" hidden="false" customHeight="true" outlineLevel="0" collapsed="false"/>
    <row r="29" customFormat="false" ht="15.75" hidden="false" customHeight="true" outlineLevel="0" collapsed="false"/>
    <row r="30" customFormat="false" ht="15.75" hidden="false" customHeight="true" outlineLevel="0" collapsed="false"/>
    <row r="31" customFormat="false" ht="15.75" hidden="false" customHeight="true" outlineLevel="0" collapsed="false"/>
    <row r="32" customFormat="false" ht="15.75" hidden="false" customHeight="true" outlineLevel="0" collapsed="false"/>
    <row r="33" customFormat="false" ht="15.75" hidden="false" customHeight="true" outlineLevel="0" collapsed="false"/>
    <row r="34" customFormat="false" ht="15.75" hidden="false" customHeight="true" outlineLevel="0" collapsed="false"/>
    <row r="35" customFormat="false" ht="15.75" hidden="false" customHeight="true" outlineLevel="0" collapsed="false"/>
    <row r="36" customFormat="false" ht="15.75" hidden="false" customHeight="true" outlineLevel="0" collapsed="false"/>
    <row r="37" customFormat="false" ht="15.75" hidden="false" customHeight="true" outlineLevel="0" collapsed="false"/>
    <row r="38" customFormat="false" ht="15.75" hidden="false" customHeight="true" outlineLevel="0" collapsed="false"/>
    <row r="39" customFormat="false" ht="15.75" hidden="false" customHeight="true" outlineLevel="0" collapsed="false"/>
    <row r="40" customFormat="false" ht="15.75" hidden="false" customHeight="true" outlineLevel="0" collapsed="false"/>
    <row r="41" customFormat="false" ht="15.75" hidden="false" customHeight="true" outlineLevel="0" collapsed="false"/>
    <row r="42" customFormat="false" ht="15.75" hidden="false" customHeight="true" outlineLevel="0" collapsed="false"/>
    <row r="43" customFormat="false" ht="15.75" hidden="false" customHeight="true" outlineLevel="0" collapsed="false"/>
    <row r="44" customFormat="false" ht="15.75" hidden="false" customHeight="true" outlineLevel="0" collapsed="false"/>
    <row r="45" customFormat="false" ht="15.75" hidden="false" customHeight="true" outlineLevel="0" collapsed="false"/>
    <row r="46" customFormat="false" ht="15.75" hidden="false" customHeight="true" outlineLevel="0" collapsed="false"/>
    <row r="47" customFormat="false" ht="15.75" hidden="false" customHeight="true" outlineLevel="0" collapsed="false"/>
    <row r="48" customFormat="false" ht="15.75" hidden="false" customHeight="true" outlineLevel="0" collapsed="false"/>
    <row r="49" customFormat="false" ht="15.75" hidden="false" customHeight="true" outlineLevel="0" collapsed="false"/>
    <row r="50" customFormat="false" ht="15.75" hidden="false" customHeight="true" outlineLevel="0" collapsed="false"/>
    <row r="51" customFormat="false" ht="15.75" hidden="false" customHeight="true" outlineLevel="0" collapsed="false"/>
    <row r="52" customFormat="false" ht="15.75" hidden="false" customHeight="true" outlineLevel="0" collapsed="false"/>
    <row r="53" customFormat="false" ht="15.75" hidden="false" customHeight="true" outlineLevel="0" collapsed="false"/>
    <row r="54" customFormat="false" ht="15.75" hidden="false" customHeight="true" outlineLevel="0" collapsed="false"/>
    <row r="55" customFormat="false" ht="15.75" hidden="false" customHeight="true" outlineLevel="0" collapsed="false"/>
    <row r="56" customFormat="false" ht="15.75" hidden="false" customHeight="true" outlineLevel="0" collapsed="false"/>
    <row r="57" customFormat="false" ht="15.75" hidden="false" customHeight="true" outlineLevel="0" collapsed="false"/>
    <row r="58" customFormat="false" ht="15.75" hidden="false" customHeight="true" outlineLevel="0" collapsed="false"/>
    <row r="59" customFormat="false" ht="15.75" hidden="false" customHeight="true" outlineLevel="0" collapsed="false"/>
    <row r="60" customFormat="false" ht="15.75" hidden="false" customHeight="true" outlineLevel="0" collapsed="false"/>
    <row r="61" customFormat="false" ht="15.75" hidden="false" customHeight="true" outlineLevel="0" collapsed="false"/>
    <row r="62" customFormat="false" ht="15.75" hidden="false" customHeight="true" outlineLevel="0" collapsed="false"/>
    <row r="63" customFormat="false" ht="15.75" hidden="false" customHeight="true" outlineLevel="0" collapsed="false"/>
    <row r="64" customFormat="false" ht="15.75" hidden="false" customHeight="true" outlineLevel="0" collapsed="false"/>
    <row r="65" customFormat="false" ht="15.75" hidden="false" customHeight="true" outlineLevel="0" collapsed="false"/>
    <row r="66" customFormat="false" ht="15.75" hidden="false" customHeight="true" outlineLevel="0" collapsed="false"/>
    <row r="67" customFormat="false" ht="15.75" hidden="false" customHeight="true" outlineLevel="0" collapsed="false"/>
    <row r="68" customFormat="false" ht="15.75" hidden="false" customHeight="true" outlineLevel="0" collapsed="false"/>
    <row r="69" customFormat="false" ht="15.75" hidden="false" customHeight="true" outlineLevel="0" collapsed="false"/>
    <row r="70" customFormat="false" ht="15.75" hidden="false" customHeight="true" outlineLevel="0" collapsed="false"/>
    <row r="71" customFormat="false" ht="15.75" hidden="false" customHeight="true" outlineLevel="0" collapsed="false"/>
    <row r="72" customFormat="false" ht="15.75" hidden="false" customHeight="true" outlineLevel="0" collapsed="false"/>
    <row r="73" customFormat="false" ht="15.75" hidden="false" customHeight="true" outlineLevel="0" collapsed="false"/>
    <row r="74" customFormat="false" ht="15.75" hidden="false" customHeight="true" outlineLevel="0" collapsed="false"/>
    <row r="75" customFormat="false" ht="15.75" hidden="false" customHeight="true" outlineLevel="0" collapsed="false"/>
    <row r="76" customFormat="false" ht="15.75" hidden="false" customHeight="true" outlineLevel="0" collapsed="false"/>
    <row r="77" customFormat="false" ht="15.75" hidden="false" customHeight="true" outlineLevel="0" collapsed="false"/>
    <row r="78" customFormat="false" ht="15.75" hidden="false" customHeight="true" outlineLevel="0" collapsed="false"/>
    <row r="79" customFormat="false" ht="15.75" hidden="false" customHeight="true" outlineLevel="0" collapsed="false"/>
    <row r="80" customFormat="false" ht="15.75" hidden="false" customHeight="true" outlineLevel="0" collapsed="false"/>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4.43359375" defaultRowHeight="15" zeroHeight="false" outlineLevelRow="0" outlineLevelCol="0"/>
  <cols>
    <col collapsed="false" customWidth="true" hidden="false" outlineLevel="0" max="26" min="1" style="1" width="8.71"/>
  </cols>
  <sheetData>
    <row r="1" customFormat="false" ht="15" hidden="false" customHeight="true" outlineLevel="0" collapsed="false">
      <c r="A1" s="26" t="s">
        <v>2</v>
      </c>
      <c r="B1" s="26" t="s">
        <v>1094</v>
      </c>
    </row>
    <row r="2" customFormat="false" ht="15" hidden="false" customHeight="true" outlineLevel="0" collapsed="false">
      <c r="A2" s="1" t="str">
        <f aca="false">INDEX('Central Tendency &amp; Dispersion'!$Q$2:$Q$13,MATCH(1,'Central Tendency &amp; Dispersion'!$S$2:$S$13,0))</f>
        <v>Commercial</v>
      </c>
      <c r="B2" s="1" t="n">
        <f aca="false">INDEX('Central Tendency &amp; Dispersion'!$R$2:$R$13,MATCH(1,'Central Tendency &amp; Dispersion'!$S$2:$S$13,0))</f>
        <v>788</v>
      </c>
    </row>
    <row r="3" customFormat="false" ht="15" hidden="false" customHeight="true" outlineLevel="0" collapsed="false">
      <c r="A3" s="1" t="str">
        <f aca="false">INDEX('Central Tendency &amp; Dispersion'!$Q$2:$Q$13,MATCH(2,'Central Tendency &amp; Dispersion'!$S$2:$S$13,0))</f>
        <v>Government</v>
      </c>
      <c r="B3" s="1" t="n">
        <f aca="false">INDEX('Central Tendency &amp; Dispersion'!$R$2:$R$13,MATCH(2,'Central Tendency &amp; Dispersion'!$S$2:$S$13,0))</f>
        <v>80</v>
      </c>
    </row>
    <row r="4" customFormat="false" ht="15" hidden="false" customHeight="true" outlineLevel="0" collapsed="false">
      <c r="A4" s="1" t="str">
        <f aca="false">INDEX('Central Tendency &amp; Dispersion'!$Q$2:$Q$13,MATCH(3,'Central Tendency &amp; Dispersion'!$S$2:$S$13,0))</f>
        <v>Military</v>
      </c>
      <c r="B4" s="1" t="n">
        <f aca="false">INDEX('Central Tendency &amp; Dispersion'!$R$2:$R$13,MATCH(3,'Central Tendency &amp; Dispersion'!$S$2:$S$13,0))</f>
        <v>58</v>
      </c>
    </row>
    <row r="5" customFormat="false" ht="15" hidden="false" customHeight="true" outlineLevel="0" collapsed="false">
      <c r="A5" s="1" t="str">
        <f aca="false">INDEX('Central Tendency &amp; Dispersion'!$Q$2:$Q$13,MATCH(4,'Central Tendency &amp; Dispersion'!$S$2:$S$13,0))</f>
        <v>Civil</v>
      </c>
      <c r="B5" s="1" t="n">
        <f aca="false">INDEX('Central Tendency &amp; Dispersion'!$R$2:$R$13,MATCH(4,'Central Tendency &amp; Dispersion'!$S$2:$S$13,0))</f>
        <v>33</v>
      </c>
    </row>
    <row r="6" customFormat="false" ht="15" hidden="false" customHeight="true" outlineLevel="0" collapsed="false">
      <c r="A6" s="1" t="str">
        <f aca="false">INDEX('Central Tendency &amp; Dispersion'!$Q$2:$Q$13,MATCH(5,'Central Tendency &amp; Dispersion'!$S$2:$S$13,0))</f>
        <v>Government/Commercial</v>
      </c>
      <c r="B6" s="1" t="n">
        <f aca="false">INDEX('Central Tendency &amp; Dispersion'!$R$2:$R$13,MATCH(5,'Central Tendency &amp; Dispersion'!$S$2:$S$13,0))</f>
        <v>12</v>
      </c>
    </row>
    <row r="7" customFormat="false" ht="15" hidden="false" customHeight="true" outlineLevel="0" collapsed="false">
      <c r="A7" s="1" t="str">
        <f aca="false">INDEX('Central Tendency &amp; Dispersion'!$Q$2:$Q$13,MATCH(6,'Central Tendency &amp; Dispersion'!$S$2:$S$13,0))</f>
        <v>Military/Commercial</v>
      </c>
      <c r="B7" s="1" t="n">
        <f aca="false">INDEX('Central Tendency &amp; Dispersion'!$R$2:$R$13,MATCH(6,'Central Tendency &amp; Dispersion'!$S$2:$S$13,0))</f>
        <v>12</v>
      </c>
    </row>
    <row r="8" customFormat="false" ht="15" hidden="false" customHeight="true" outlineLevel="0" collapsed="false">
      <c r="A8" s="1" t="str">
        <f aca="false">INDEX('Central Tendency &amp; Dispersion'!$Q$2:$Q$13,MATCH(7,'Central Tendency &amp; Dispersion'!$S$2:$S$13,0))</f>
        <v>Government/Civil</v>
      </c>
      <c r="B8" s="1" t="n">
        <f aca="false">INDEX('Central Tendency &amp; Dispersion'!$R$2:$R$13,MATCH(7,'Central Tendency &amp; Dispersion'!$S$2:$S$13,0))</f>
        <v>6</v>
      </c>
    </row>
    <row r="9" customFormat="false" ht="15" hidden="false" customHeight="true" outlineLevel="0" collapsed="false">
      <c r="A9" s="1" t="str">
        <f aca="false">INDEX('Central Tendency &amp; Dispersion'!$Q$2:$Q$13,MATCH(8,'Central Tendency &amp; Dispersion'!$S$2:$S$13,0))</f>
        <v>Military/Government</v>
      </c>
      <c r="B9" s="1" t="n">
        <f aca="false">INDEX('Central Tendency &amp; Dispersion'!$R$2:$R$13,MATCH(8,'Central Tendency &amp; Dispersion'!$S$2:$S$13,0))</f>
        <v>6</v>
      </c>
    </row>
    <row r="10" customFormat="false" ht="15" hidden="false" customHeight="true" outlineLevel="0" collapsed="false">
      <c r="A10" s="1" t="str">
        <f aca="false">INDEX('Central Tendency &amp; Dispersion'!$Q$2:$Q$13,MATCH(9,'Central Tendency &amp; Dispersion'!$S$2:$S$13,0))</f>
        <v>Military/Civil</v>
      </c>
      <c r="B10" s="1" t="n">
        <f aca="false">INDEX('Central Tendency &amp; Dispersion'!$R$2:$R$13,MATCH(9,'Central Tendency &amp; Dispersion'!$S$2:$S$13,0))</f>
        <v>2</v>
      </c>
    </row>
    <row r="11" customFormat="false" ht="15" hidden="false" customHeight="true" outlineLevel="0" collapsed="false">
      <c r="A11" s="1" t="str">
        <f aca="false">INDEX('Central Tendency &amp; Dispersion'!$Q$2:$Q$13,MATCH(10,'Central Tendency &amp; Dispersion'!$S$2:$S$13,0))</f>
        <v>Civil/Government</v>
      </c>
      <c r="B11" s="1" t="n">
        <f aca="false">INDEX('Central Tendency &amp; Dispersion'!$R$2:$R$13,MATCH(10,'Central Tendency &amp; Dispersion'!$S$2:$S$13,0))</f>
        <v>1</v>
      </c>
    </row>
    <row r="12" customFormat="false" ht="15" hidden="false" customHeight="true" outlineLevel="0" collapsed="false">
      <c r="A12" s="1" t="str">
        <f aca="false">INDEX('Central Tendency &amp; Dispersion'!$Q$2:$Q$13,MATCH(11,'Central Tendency &amp; Dispersion'!$S$2:$S$13,0))</f>
        <v>Civil/Military</v>
      </c>
      <c r="B12" s="1" t="n">
        <f aca="false">INDEX('Central Tendency &amp; Dispersion'!$R$2:$R$13,MATCH(11,'Central Tendency &amp; Dispersion'!$S$2:$S$13,0))</f>
        <v>1</v>
      </c>
    </row>
    <row r="13" customFormat="false" ht="15" hidden="false" customHeight="true" outlineLevel="0" collapsed="false">
      <c r="A13" s="1" t="str">
        <f aca="false">INDEX('Central Tendency &amp; Dispersion'!$Q$2:$Q$13,MATCH(12,'Central Tendency &amp; Dispersion'!$S$2:$S$13,0))</f>
        <v>Government/Military</v>
      </c>
      <c r="B13" s="1" t="n">
        <f aca="false">INDEX('Central Tendency &amp; Dispersion'!$R$2:$R$13,MATCH(12,'Central Tendency &amp; Dispersion'!$S$2:$S$13,0))</f>
        <v>1</v>
      </c>
    </row>
    <row r="21" customFormat="false" ht="15.75" hidden="false" customHeight="true" outlineLevel="0" collapsed="false"/>
    <row r="22" customFormat="false" ht="15.75" hidden="false" customHeight="true" outlineLevel="0" collapsed="false"/>
    <row r="23" customFormat="false" ht="15.75" hidden="false" customHeight="true" outlineLevel="0" collapsed="false"/>
    <row r="24" customFormat="false" ht="15.75" hidden="false" customHeight="true" outlineLevel="0" collapsed="false"/>
    <row r="25" customFormat="false" ht="15.75" hidden="false" customHeight="true" outlineLevel="0" collapsed="false"/>
    <row r="26" customFormat="false" ht="15.75" hidden="false" customHeight="true" outlineLevel="0" collapsed="false"/>
    <row r="27" customFormat="false" ht="15.75" hidden="false" customHeight="true" outlineLevel="0" collapsed="false"/>
    <row r="28" customFormat="false" ht="15.75" hidden="false" customHeight="true" outlineLevel="0" collapsed="false"/>
    <row r="29" customFormat="false" ht="15.75" hidden="false" customHeight="true" outlineLevel="0" collapsed="false"/>
    <row r="30" customFormat="false" ht="15.75" hidden="false" customHeight="true" outlineLevel="0" collapsed="false"/>
    <row r="31" customFormat="false" ht="15.75" hidden="false" customHeight="true" outlineLevel="0" collapsed="false"/>
    <row r="32" customFormat="false" ht="15.75" hidden="false" customHeight="true" outlineLevel="0" collapsed="false"/>
    <row r="33" customFormat="false" ht="15.75" hidden="false" customHeight="true" outlineLevel="0" collapsed="false"/>
    <row r="34" customFormat="false" ht="15.75" hidden="false" customHeight="true" outlineLevel="0" collapsed="false"/>
    <row r="35" customFormat="false" ht="15.75" hidden="false" customHeight="true" outlineLevel="0" collapsed="false"/>
    <row r="36" customFormat="false" ht="15.75" hidden="false" customHeight="true" outlineLevel="0" collapsed="false"/>
    <row r="37" customFormat="false" ht="15.75" hidden="false" customHeight="true" outlineLevel="0" collapsed="false"/>
    <row r="38" customFormat="false" ht="15.75" hidden="false" customHeight="true" outlineLevel="0" collapsed="false"/>
    <row r="39" customFormat="false" ht="15.75" hidden="false" customHeight="true" outlineLevel="0" collapsed="false"/>
    <row r="40" customFormat="false" ht="15.75" hidden="false" customHeight="true" outlineLevel="0" collapsed="false"/>
    <row r="41" customFormat="false" ht="15.75" hidden="false" customHeight="true" outlineLevel="0" collapsed="false"/>
    <row r="42" customFormat="false" ht="15.75" hidden="false" customHeight="true" outlineLevel="0" collapsed="false"/>
    <row r="43" customFormat="false" ht="15.75" hidden="false" customHeight="true" outlineLevel="0" collapsed="false"/>
    <row r="44" customFormat="false" ht="15.75" hidden="false" customHeight="true" outlineLevel="0" collapsed="false"/>
    <row r="45" customFormat="false" ht="15.75" hidden="false" customHeight="true" outlineLevel="0" collapsed="false"/>
    <row r="46" customFormat="false" ht="15.75" hidden="false" customHeight="true" outlineLevel="0" collapsed="false"/>
    <row r="47" customFormat="false" ht="15.75" hidden="false" customHeight="true" outlineLevel="0" collapsed="false"/>
    <row r="48" customFormat="false" ht="15.75" hidden="false" customHeight="true" outlineLevel="0" collapsed="false"/>
    <row r="49" customFormat="false" ht="15.75" hidden="false" customHeight="true" outlineLevel="0" collapsed="false"/>
    <row r="50" customFormat="false" ht="15.75" hidden="false" customHeight="true" outlineLevel="0" collapsed="false"/>
    <row r="51" customFormat="false" ht="15.75" hidden="false" customHeight="true" outlineLevel="0" collapsed="false"/>
    <row r="52" customFormat="false" ht="15.75" hidden="false" customHeight="true" outlineLevel="0" collapsed="false"/>
    <row r="53" customFormat="false" ht="15.75" hidden="false" customHeight="true" outlineLevel="0" collapsed="false"/>
    <row r="54" customFormat="false" ht="15.75" hidden="false" customHeight="true" outlineLevel="0" collapsed="false"/>
    <row r="55" customFormat="false" ht="15.75" hidden="false" customHeight="true" outlineLevel="0" collapsed="false"/>
    <row r="56" customFormat="false" ht="15.75" hidden="false" customHeight="true" outlineLevel="0" collapsed="false"/>
    <row r="57" customFormat="false" ht="15.75" hidden="false" customHeight="true" outlineLevel="0" collapsed="false"/>
    <row r="58" customFormat="false" ht="15.75" hidden="false" customHeight="true" outlineLevel="0" collapsed="false"/>
    <row r="59" customFormat="false" ht="15.75" hidden="false" customHeight="true" outlineLevel="0" collapsed="false"/>
    <row r="60" customFormat="false" ht="15.75" hidden="false" customHeight="true" outlineLevel="0" collapsed="false"/>
    <row r="61" customFormat="false" ht="15.75" hidden="false" customHeight="true" outlineLevel="0" collapsed="false"/>
    <row r="62" customFormat="false" ht="15.75" hidden="false" customHeight="true" outlineLevel="0" collapsed="false"/>
    <row r="63" customFormat="false" ht="15.75" hidden="false" customHeight="true" outlineLevel="0" collapsed="false"/>
    <row r="64" customFormat="false" ht="15.75" hidden="false" customHeight="true" outlineLevel="0" collapsed="false"/>
    <row r="65" customFormat="false" ht="15.75" hidden="false" customHeight="true" outlineLevel="0" collapsed="false"/>
    <row r="66" customFormat="false" ht="15.75" hidden="false" customHeight="true" outlineLevel="0" collapsed="false"/>
    <row r="67" customFormat="false" ht="15.75" hidden="false" customHeight="true" outlineLevel="0" collapsed="false"/>
    <row r="68" customFormat="false" ht="15.75" hidden="false" customHeight="true" outlineLevel="0" collapsed="false"/>
    <row r="69" customFormat="false" ht="15.75" hidden="false" customHeight="true" outlineLevel="0" collapsed="false"/>
    <row r="70" customFormat="false" ht="15.75" hidden="false" customHeight="true" outlineLevel="0" collapsed="false"/>
    <row r="71" customFormat="false" ht="15.75" hidden="false" customHeight="true" outlineLevel="0" collapsed="false"/>
    <row r="72" customFormat="false" ht="15.75" hidden="false" customHeight="true" outlineLevel="0" collapsed="false"/>
    <row r="73" customFormat="false" ht="15.75" hidden="false" customHeight="true" outlineLevel="0" collapsed="false"/>
    <row r="74" customFormat="false" ht="15.75" hidden="false" customHeight="true" outlineLevel="0" collapsed="false"/>
    <row r="75" customFormat="false" ht="15.75" hidden="false" customHeight="true" outlineLevel="0" collapsed="false"/>
    <row r="76" customFormat="false" ht="15.75" hidden="false" customHeight="true" outlineLevel="0" collapsed="false"/>
    <row r="77" customFormat="false" ht="15.75" hidden="false" customHeight="true" outlineLevel="0" collapsed="false"/>
    <row r="78" customFormat="false" ht="15.75" hidden="false" customHeight="true" outlineLevel="0" collapsed="false"/>
    <row r="79" customFormat="false" ht="15.75" hidden="false" customHeight="true" outlineLevel="0" collapsed="false"/>
    <row r="80" customFormat="false" ht="15.75" hidden="false" customHeight="true" outlineLevel="0" collapsed="false"/>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4.43359375" defaultRowHeight="15" zeroHeight="false" outlineLevelRow="0" outlineLevelCol="0"/>
  <cols>
    <col collapsed="false" customWidth="true" hidden="false" outlineLevel="0" max="26" min="1" style="1" width="8.71"/>
  </cols>
  <sheetData>
    <row r="1" customFormat="false" ht="15" hidden="false" customHeight="true" outlineLevel="0" collapsed="false">
      <c r="A1" s="26" t="s">
        <v>3</v>
      </c>
      <c r="B1" s="26" t="s">
        <v>1094</v>
      </c>
    </row>
    <row r="2" customFormat="false" ht="15" hidden="false" customHeight="true" outlineLevel="0" collapsed="false">
      <c r="A2" s="1" t="str">
        <f aca="false">INDEX('Central Tendency &amp; Dispersion'!$T$2:$T$18,MATCH(1,'Central Tendency &amp; Dispersion'!$V$2:$V$18,0))</f>
        <v>Communications</v>
      </c>
      <c r="B2" s="1" t="n">
        <f aca="false">INDEX('Central Tendency &amp; Dispersion'!$U$2:$U$18,MATCH(1,'Central Tendency &amp; Dispersion'!$V$2:$V$18,0))</f>
        <v>704</v>
      </c>
    </row>
    <row r="3" customFormat="false" ht="15" hidden="false" customHeight="true" outlineLevel="0" collapsed="false">
      <c r="A3" s="1" t="str">
        <f aca="false">INDEX('Central Tendency &amp; Dispersion'!$T$2:$T$18,MATCH(2,'Central Tendency &amp; Dispersion'!$V$2:$V$18,0))</f>
        <v>Earth Observation</v>
      </c>
      <c r="B3" s="1" t="n">
        <f aca="false">INDEX('Central Tendency &amp; Dispersion'!$U$2:$U$18,MATCH(2,'Central Tendency &amp; Dispersion'!$V$2:$V$18,0))</f>
        <v>174</v>
      </c>
    </row>
    <row r="4" customFormat="false" ht="15" hidden="false" customHeight="true" outlineLevel="0" collapsed="false">
      <c r="A4" s="1" t="str">
        <f aca="false">INDEX('Central Tendency &amp; Dispersion'!$T$2:$T$18,MATCH(3,'Central Tendency &amp; Dispersion'!$V$2:$V$18,0))</f>
        <v>Technology Development</v>
      </c>
      <c r="B4" s="1" t="n">
        <f aca="false">INDEX('Central Tendency &amp; Dispersion'!$U$2:$U$18,MATCH(3,'Central Tendency &amp; Dispersion'!$V$2:$V$18,0))</f>
        <v>53</v>
      </c>
    </row>
    <row r="5" customFormat="false" ht="15" hidden="false" customHeight="true" outlineLevel="0" collapsed="false">
      <c r="A5" s="1" t="str">
        <f aca="false">INDEX('Central Tendency &amp; Dispersion'!$T$2:$T$18,MATCH(4,'Central Tendency &amp; Dispersion'!$V$2:$V$18,0))</f>
        <v>Navigation/Global Positioning</v>
      </c>
      <c r="B5" s="1" t="n">
        <f aca="false">INDEX('Central Tendency &amp; Dispersion'!$U$2:$U$18,MATCH(4,'Central Tendency &amp; Dispersion'!$V$2:$V$18,0))</f>
        <v>20</v>
      </c>
    </row>
    <row r="6" customFormat="false" ht="15" hidden="false" customHeight="true" outlineLevel="0" collapsed="false">
      <c r="A6" s="1" t="str">
        <f aca="false">INDEX('Central Tendency &amp; Dispersion'!$T$2:$T$18,MATCH(5,'Central Tendency &amp; Dispersion'!$V$2:$V$18,0))</f>
        <v>Space Science</v>
      </c>
      <c r="B6" s="1" t="n">
        <f aca="false">INDEX('Central Tendency &amp; Dispersion'!$U$2:$U$18,MATCH(5,'Central Tendency &amp; Dispersion'!$V$2:$V$18,0))</f>
        <v>18</v>
      </c>
    </row>
    <row r="7" customFormat="false" ht="15" hidden="false" customHeight="true" outlineLevel="0" collapsed="false">
      <c r="A7" s="1" t="str">
        <f aca="false">INDEX('Central Tendency &amp; Dispersion'!$T$2:$T$18,MATCH(6,'Central Tendency &amp; Dispersion'!$V$2:$V$18,0))</f>
        <v>Technology Demonstration</v>
      </c>
      <c r="B7" s="1" t="n">
        <f aca="false">INDEX('Central Tendency &amp; Dispersion'!$U$2:$U$18,MATCH(6,'Central Tendency &amp; Dispersion'!$V$2:$V$18,0))</f>
        <v>12</v>
      </c>
    </row>
    <row r="8" customFormat="false" ht="15" hidden="false" customHeight="true" outlineLevel="0" collapsed="false">
      <c r="A8" s="1" t="str">
        <f aca="false">INDEX('Central Tendency &amp; Dispersion'!$T$2:$T$18,MATCH(7,'Central Tendency &amp; Dispersion'!$V$2:$V$18,0))</f>
        <v>Navigation/Regional Positioning</v>
      </c>
      <c r="B8" s="1" t="n">
        <f aca="false">INDEX('Central Tendency &amp; Dispersion'!$U$2:$U$18,MATCH(7,'Central Tendency &amp; Dispersion'!$V$2:$V$18,0))</f>
        <v>3</v>
      </c>
    </row>
    <row r="9" customFormat="false" ht="15" hidden="false" customHeight="true" outlineLevel="0" collapsed="false">
      <c r="A9" s="1" t="str">
        <f aca="false">INDEX('Central Tendency &amp; Dispersion'!$T$2:$T$18,MATCH(8,'Central Tendency &amp; Dispersion'!$V$2:$V$18,0))</f>
        <v>Surveillance</v>
      </c>
      <c r="B9" s="1" t="n">
        <f aca="false">INDEX('Central Tendency &amp; Dispersion'!$U$2:$U$18,MATCH(8,'Central Tendency &amp; Dispersion'!$V$2:$V$18,0))</f>
        <v>3</v>
      </c>
    </row>
    <row r="10" customFormat="false" ht="15" hidden="false" customHeight="true" outlineLevel="0" collapsed="false">
      <c r="A10" s="1" t="str">
        <f aca="false">INDEX('Central Tendency &amp; Dispersion'!$T$2:$T$18,MATCH(9,'Central Tendency &amp; Dispersion'!$V$2:$V$18,0))</f>
        <v>Communications/Maritime Tracking</v>
      </c>
      <c r="B10" s="1" t="n">
        <f aca="false">INDEX('Central Tendency &amp; Dispersion'!$U$2:$U$18,MATCH(9,'Central Tendency &amp; Dispersion'!$V$2:$V$18,0))</f>
        <v>2</v>
      </c>
    </row>
    <row r="11" customFormat="false" ht="15" hidden="false" customHeight="true" outlineLevel="0" collapsed="false">
      <c r="A11" s="1" t="str">
        <f aca="false">INDEX('Central Tendency &amp; Dispersion'!$T$2:$T$18,MATCH(10,'Central Tendency &amp; Dispersion'!$V$2:$V$18,0))</f>
        <v>Earth Observation/Technology Development</v>
      </c>
      <c r="B11" s="1" t="n">
        <f aca="false">INDEX('Central Tendency &amp; Dispersion'!$U$2:$U$18,MATCH(10,'Central Tendency &amp; Dispersion'!$V$2:$V$18,0))</f>
        <v>2</v>
      </c>
    </row>
    <row r="12" customFormat="false" ht="15" hidden="false" customHeight="true" outlineLevel="0" collapsed="false">
      <c r="A12" s="1" t="str">
        <f aca="false">INDEX('Central Tendency &amp; Dispersion'!$T$2:$T$18,MATCH(11,'Central Tendency &amp; Dispersion'!$V$2:$V$18,0))</f>
        <v>Earth Science</v>
      </c>
      <c r="B12" s="1" t="n">
        <f aca="false">INDEX('Central Tendency &amp; Dispersion'!$U$2:$U$18,MATCH(11,'Central Tendency &amp; Dispersion'!$V$2:$V$18,0))</f>
        <v>2</v>
      </c>
    </row>
    <row r="13" customFormat="false" ht="15" hidden="false" customHeight="true" outlineLevel="0" collapsed="false">
      <c r="A13" s="1" t="str">
        <f aca="false">INDEX('Central Tendency &amp; Dispersion'!$T$2:$T$18,MATCH(12,'Central Tendency &amp; Dispersion'!$V$2:$V$18,0))</f>
        <v>Meteorological</v>
      </c>
      <c r="B13" s="1" t="n">
        <f aca="false">INDEX('Central Tendency &amp; Dispersion'!$U$2:$U$18,MATCH(12,'Central Tendency &amp; Dispersion'!$V$2:$V$18,0))</f>
        <v>2</v>
      </c>
    </row>
    <row r="14" customFormat="false" ht="15" hidden="false" customHeight="true" outlineLevel="0" collapsed="false">
      <c r="A14" s="1" t="str">
        <f aca="false">INDEX('Central Tendency &amp; Dispersion'!$T$2:$T$18,MATCH(13,'Central Tendency &amp; Dispersion'!$V$2:$V$18,0))</f>
        <v>Earth Observation </v>
      </c>
      <c r="B14" s="1" t="n">
        <f aca="false">INDEX('Central Tendency &amp; Dispersion'!$U$2:$U$18,MATCH(13,'Central Tendency &amp; Dispersion'!$V$2:$V$18,0))</f>
        <v>1</v>
      </c>
    </row>
    <row r="15" customFormat="false" ht="15" hidden="false" customHeight="true" outlineLevel="0" collapsed="false">
      <c r="A15" s="1" t="str">
        <f aca="false">INDEX('Central Tendency &amp; Dispersion'!$T$2:$T$18,MATCH(14,'Central Tendency &amp; Dispersion'!$V$2:$V$18,0))</f>
        <v>Earth Science/Earth Observation</v>
      </c>
      <c r="B15" s="1" t="n">
        <f aca="false">INDEX('Central Tendency &amp; Dispersion'!$U$2:$U$18,MATCH(14,'Central Tendency &amp; Dispersion'!$V$2:$V$18,0))</f>
        <v>1</v>
      </c>
    </row>
    <row r="16" customFormat="false" ht="15" hidden="false" customHeight="true" outlineLevel="0" collapsed="false">
      <c r="A16" s="1" t="str">
        <f aca="false">INDEX('Central Tendency &amp; Dispersion'!$T$2:$T$18,MATCH(15,'Central Tendency &amp; Dispersion'!$V$2:$V$18,0))</f>
        <v>Mission Extension Technology</v>
      </c>
      <c r="B16" s="1" t="n">
        <f aca="false">INDEX('Central Tendency &amp; Dispersion'!$U$2:$U$18,MATCH(15,'Central Tendency &amp; Dispersion'!$V$2:$V$18,0))</f>
        <v>1</v>
      </c>
    </row>
    <row r="17" customFormat="false" ht="15" hidden="false" customHeight="true" outlineLevel="0" collapsed="false">
      <c r="A17" s="1" t="str">
        <f aca="false">INDEX('Central Tendency &amp; Dispersion'!$T$2:$T$18,MATCH(16,'Central Tendency &amp; Dispersion'!$V$2:$V$18,0))</f>
        <v>Satellite Positioning</v>
      </c>
      <c r="B17" s="1" t="n">
        <f aca="false">INDEX('Central Tendency &amp; Dispersion'!$U$2:$U$18,MATCH(16,'Central Tendency &amp; Dispersion'!$V$2:$V$18,0))</f>
        <v>1</v>
      </c>
    </row>
    <row r="18" customFormat="false" ht="15" hidden="false" customHeight="true" outlineLevel="0" collapsed="false">
      <c r="A18" s="1" t="str">
        <f aca="false">INDEX('Central Tendency &amp; Dispersion'!$T$2:$T$18,MATCH(17,'Central Tendency &amp; Dispersion'!$V$2:$V$18,0))</f>
        <v>Unknown</v>
      </c>
      <c r="B18" s="1" t="n">
        <f aca="false">INDEX('Central Tendency &amp; Dispersion'!$U$2:$U$18,MATCH(17,'Central Tendency &amp; Dispersion'!$V$2:$V$18,0))</f>
        <v>1</v>
      </c>
    </row>
    <row r="21" customFormat="false" ht="15.75" hidden="false" customHeight="true" outlineLevel="0" collapsed="false"/>
    <row r="22" customFormat="false" ht="15.75" hidden="false" customHeight="true" outlineLevel="0" collapsed="false"/>
    <row r="23" customFormat="false" ht="15.75" hidden="false" customHeight="true" outlineLevel="0" collapsed="false"/>
    <row r="24" customFormat="false" ht="15.75" hidden="false" customHeight="true" outlineLevel="0" collapsed="false"/>
    <row r="25" customFormat="false" ht="15.75" hidden="false" customHeight="true" outlineLevel="0" collapsed="false"/>
    <row r="26" customFormat="false" ht="15.75" hidden="false" customHeight="true" outlineLevel="0" collapsed="false"/>
    <row r="27" customFormat="false" ht="15.75" hidden="false" customHeight="true" outlineLevel="0" collapsed="false"/>
    <row r="28" customFormat="false" ht="15.75" hidden="false" customHeight="true" outlineLevel="0" collapsed="false"/>
    <row r="29" customFormat="false" ht="15.75" hidden="false" customHeight="true" outlineLevel="0" collapsed="false"/>
    <row r="30" customFormat="false" ht="15.75" hidden="false" customHeight="true" outlineLevel="0" collapsed="false"/>
    <row r="31" customFormat="false" ht="15.75" hidden="false" customHeight="true" outlineLevel="0" collapsed="false"/>
    <row r="32" customFormat="false" ht="15.75" hidden="false" customHeight="true" outlineLevel="0" collapsed="false"/>
    <row r="33" customFormat="false" ht="15.75" hidden="false" customHeight="true" outlineLevel="0" collapsed="false"/>
    <row r="34" customFormat="false" ht="15.75" hidden="false" customHeight="true" outlineLevel="0" collapsed="false"/>
    <row r="35" customFormat="false" ht="15.75" hidden="false" customHeight="true" outlineLevel="0" collapsed="false"/>
    <row r="36" customFormat="false" ht="15.75" hidden="false" customHeight="true" outlineLevel="0" collapsed="false"/>
    <row r="37" customFormat="false" ht="15.75" hidden="false" customHeight="true" outlineLevel="0" collapsed="false"/>
    <row r="38" customFormat="false" ht="15.75" hidden="false" customHeight="true" outlineLevel="0" collapsed="false"/>
    <row r="39" customFormat="false" ht="15.75" hidden="false" customHeight="true" outlineLevel="0" collapsed="false"/>
    <row r="40" customFormat="false" ht="15.75" hidden="false" customHeight="true" outlineLevel="0" collapsed="false"/>
    <row r="41" customFormat="false" ht="15.75" hidden="false" customHeight="true" outlineLevel="0" collapsed="false"/>
    <row r="42" customFormat="false" ht="15.75" hidden="false" customHeight="true" outlineLevel="0" collapsed="false"/>
    <row r="43" customFormat="false" ht="15.75" hidden="false" customHeight="true" outlineLevel="0" collapsed="false"/>
    <row r="44" customFormat="false" ht="15.75" hidden="false" customHeight="true" outlineLevel="0" collapsed="false"/>
    <row r="45" customFormat="false" ht="15.75" hidden="false" customHeight="true" outlineLevel="0" collapsed="false"/>
    <row r="46" customFormat="false" ht="15.75" hidden="false" customHeight="true" outlineLevel="0" collapsed="false"/>
    <row r="47" customFormat="false" ht="15.75" hidden="false" customHeight="true" outlineLevel="0" collapsed="false"/>
    <row r="48" customFormat="false" ht="15.75" hidden="false" customHeight="true" outlineLevel="0" collapsed="false"/>
    <row r="49" customFormat="false" ht="15.75" hidden="false" customHeight="true" outlineLevel="0" collapsed="false"/>
    <row r="50" customFormat="false" ht="15.75" hidden="false" customHeight="true" outlineLevel="0" collapsed="false"/>
    <row r="51" customFormat="false" ht="15.75" hidden="false" customHeight="true" outlineLevel="0" collapsed="false"/>
    <row r="52" customFormat="false" ht="15.75" hidden="false" customHeight="true" outlineLevel="0" collapsed="false"/>
    <row r="53" customFormat="false" ht="15.75" hidden="false" customHeight="true" outlineLevel="0" collapsed="false"/>
    <row r="54" customFormat="false" ht="15.75" hidden="false" customHeight="true" outlineLevel="0" collapsed="false"/>
    <row r="55" customFormat="false" ht="15.75" hidden="false" customHeight="true" outlineLevel="0" collapsed="false"/>
    <row r="56" customFormat="false" ht="15.75" hidden="false" customHeight="true" outlineLevel="0" collapsed="false"/>
    <row r="57" customFormat="false" ht="15.75" hidden="false" customHeight="true" outlineLevel="0" collapsed="false"/>
    <row r="58" customFormat="false" ht="15.75" hidden="false" customHeight="true" outlineLevel="0" collapsed="false"/>
    <row r="59" customFormat="false" ht="15.75" hidden="false" customHeight="true" outlineLevel="0" collapsed="false"/>
    <row r="60" customFormat="false" ht="15.75" hidden="false" customHeight="true" outlineLevel="0" collapsed="false"/>
    <row r="61" customFormat="false" ht="15.75" hidden="false" customHeight="true" outlineLevel="0" collapsed="false"/>
    <row r="62" customFormat="false" ht="15.75" hidden="false" customHeight="true" outlineLevel="0" collapsed="false"/>
    <row r="63" customFormat="false" ht="15.75" hidden="false" customHeight="true" outlineLevel="0" collapsed="false"/>
    <row r="64" customFormat="false" ht="15.75" hidden="false" customHeight="true" outlineLevel="0" collapsed="false"/>
    <row r="65" customFormat="false" ht="15.75" hidden="false" customHeight="true" outlineLevel="0" collapsed="false"/>
    <row r="66" customFormat="false" ht="15.75" hidden="false" customHeight="true" outlineLevel="0" collapsed="false"/>
    <row r="67" customFormat="false" ht="15.75" hidden="false" customHeight="true" outlineLevel="0" collapsed="false"/>
    <row r="68" customFormat="false" ht="15.75" hidden="false" customHeight="true" outlineLevel="0" collapsed="false"/>
    <row r="69" customFormat="false" ht="15.75" hidden="false" customHeight="true" outlineLevel="0" collapsed="false"/>
    <row r="70" customFormat="false" ht="15.75" hidden="false" customHeight="true" outlineLevel="0" collapsed="false"/>
    <row r="71" customFormat="false" ht="15.75" hidden="false" customHeight="true" outlineLevel="0" collapsed="false"/>
    <row r="72" customFormat="false" ht="15.75" hidden="false" customHeight="true" outlineLevel="0" collapsed="false"/>
    <row r="73" customFormat="false" ht="15.75" hidden="false" customHeight="true" outlineLevel="0" collapsed="false"/>
    <row r="74" customFormat="false" ht="15.75" hidden="false" customHeight="true" outlineLevel="0" collapsed="false"/>
    <row r="75" customFormat="false" ht="15.75" hidden="false" customHeight="true" outlineLevel="0" collapsed="false"/>
    <row r="76" customFormat="false" ht="15.75" hidden="false" customHeight="true" outlineLevel="0" collapsed="false"/>
    <row r="77" customFormat="false" ht="15.75" hidden="false" customHeight="true" outlineLevel="0" collapsed="false"/>
    <row r="78" customFormat="false" ht="15.75" hidden="false" customHeight="true" outlineLevel="0" collapsed="false"/>
    <row r="79" customFormat="false" ht="15.75" hidden="false" customHeight="true" outlineLevel="0" collapsed="false"/>
    <row r="80" customFormat="false" ht="15.75" hidden="false" customHeight="true" outlineLevel="0" collapsed="false"/>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4.43359375" defaultRowHeight="15" zeroHeight="false" outlineLevelRow="0" outlineLevelCol="0"/>
  <cols>
    <col collapsed="false" customWidth="true" hidden="false" outlineLevel="0" max="6" min="1" style="1" width="20"/>
    <col collapsed="false" customWidth="true" hidden="false" outlineLevel="0" max="26" min="7" style="1" width="8.71"/>
  </cols>
  <sheetData>
    <row r="1" customFormat="false" ht="15" hidden="false" customHeight="true" outlineLevel="0" collapsed="false">
      <c r="A1" s="5" t="s">
        <v>1161</v>
      </c>
      <c r="B1" s="5"/>
      <c r="C1" s="5"/>
      <c r="D1" s="5"/>
      <c r="E1" s="5"/>
      <c r="F1" s="5"/>
    </row>
    <row r="3" customFormat="false" ht="15" hidden="false" customHeight="true" outlineLevel="0" collapsed="false">
      <c r="A3" s="27" t="s">
        <v>1162</v>
      </c>
      <c r="B3" s="27" t="s">
        <v>13</v>
      </c>
      <c r="C3" s="27" t="s">
        <v>37</v>
      </c>
      <c r="D3" s="27" t="s">
        <v>21</v>
      </c>
      <c r="E3" s="27" t="s">
        <v>97</v>
      </c>
      <c r="F3" s="27" t="s">
        <v>1163</v>
      </c>
    </row>
    <row r="4" customFormat="false" ht="15" hidden="false" customHeight="true" outlineLevel="0" collapsed="false">
      <c r="A4" s="1" t="s">
        <v>14</v>
      </c>
      <c r="B4" s="1" t="n">
        <f aca="false">COUNTIFS('Raw Data'!$D$2:$D$1001,$A4,'Raw Data'!$C$2:$C$1001,B$3)</f>
        <v>661</v>
      </c>
      <c r="C4" s="1" t="n">
        <f aca="false">COUNTIFS('Raw Data'!$D$2:$D$1001,$A4,'Raw Data'!$C$2:$C$1001,C$3)</f>
        <v>14</v>
      </c>
      <c r="D4" s="1" t="n">
        <f aca="false">COUNTIFS('Raw Data'!$D$2:$D$1001,$A4,'Raw Data'!$C$2:$C$1001,D$3)</f>
        <v>13</v>
      </c>
      <c r="E4" s="1" t="n">
        <f aca="false">COUNTIFS('Raw Data'!$D$2:$D$1001,$A4,'Raw Data'!$C$2:$C$1001,E$3)</f>
        <v>4</v>
      </c>
      <c r="F4" s="1" t="n">
        <f aca="false">COUNTIF('Raw Data'!$D$2:$D$1001,$A4)-SUM(B4:E4)</f>
        <v>12</v>
      </c>
    </row>
    <row r="5" customFormat="false" ht="15" hidden="false" customHeight="true" outlineLevel="0" collapsed="false">
      <c r="A5" s="1" t="s">
        <v>18</v>
      </c>
      <c r="B5" s="1" t="n">
        <f aca="false">COUNTIFS('Raw Data'!$D$2:$D$1001,$A5,'Raw Data'!$C$2:$C$1001,B$3)</f>
        <v>93</v>
      </c>
      <c r="C5" s="1" t="n">
        <f aca="false">COUNTIFS('Raw Data'!$D$2:$D$1001,$A5,'Raw Data'!$C$2:$C$1001,C$3)</f>
        <v>38</v>
      </c>
      <c r="D5" s="1" t="n">
        <f aca="false">COUNTIFS('Raw Data'!$D$2:$D$1001,$A5,'Raw Data'!$C$2:$C$1001,D$3)</f>
        <v>32</v>
      </c>
      <c r="E5" s="1" t="n">
        <f aca="false">COUNTIFS('Raw Data'!$D$2:$D$1001,$A5,'Raw Data'!$C$2:$C$1001,E$3)</f>
        <v>5</v>
      </c>
      <c r="F5" s="1" t="n">
        <f aca="false">COUNTIF('Raw Data'!$D$2:$D$1001,$A5)-SUM(B5:E5)</f>
        <v>6</v>
      </c>
    </row>
    <row r="6" customFormat="false" ht="15" hidden="false" customHeight="true" outlineLevel="0" collapsed="false">
      <c r="A6" s="1" t="s">
        <v>48</v>
      </c>
      <c r="B6" s="1" t="n">
        <f aca="false">COUNTIFS('Raw Data'!$D$2:$D$1001,$A6,'Raw Data'!$C$2:$C$1001,B$3)</f>
        <v>4</v>
      </c>
      <c r="C6" s="1" t="n">
        <f aca="false">COUNTIFS('Raw Data'!$D$2:$D$1001,$A6,'Raw Data'!$C$2:$C$1001,C$3)</f>
        <v>0</v>
      </c>
      <c r="D6" s="1" t="n">
        <f aca="false">COUNTIFS('Raw Data'!$D$2:$D$1001,$A6,'Raw Data'!$C$2:$C$1001,D$3)</f>
        <v>0</v>
      </c>
      <c r="E6" s="1" t="n">
        <f aca="false">COUNTIFS('Raw Data'!$D$2:$D$1001,$A6,'Raw Data'!$C$2:$C$1001,E$3)</f>
        <v>0</v>
      </c>
      <c r="F6" s="1" t="n">
        <f aca="false">COUNTIF('Raw Data'!$D$2:$D$1001,$A6)-SUM(B6:E6)</f>
        <v>16</v>
      </c>
    </row>
    <row r="7" customFormat="false" ht="15" hidden="false" customHeight="true" outlineLevel="0" collapsed="false">
      <c r="A7" s="1" t="s">
        <v>58</v>
      </c>
      <c r="B7" s="1" t="n">
        <f aca="false">COUNTIFS('Raw Data'!$D$2:$D$1001,$A7,'Raw Data'!$C$2:$C$1001,B$3)</f>
        <v>14</v>
      </c>
      <c r="C7" s="1" t="n">
        <f aca="false">COUNTIFS('Raw Data'!$D$2:$D$1001,$A7,'Raw Data'!$C$2:$C$1001,C$3)</f>
        <v>9</v>
      </c>
      <c r="D7" s="1" t="n">
        <f aca="false">COUNTIFS('Raw Data'!$D$2:$D$1001,$A7,'Raw Data'!$C$2:$C$1001,D$3)</f>
        <v>11</v>
      </c>
      <c r="E7" s="1" t="n">
        <f aca="false">COUNTIFS('Raw Data'!$D$2:$D$1001,$A7,'Raw Data'!$C$2:$C$1001,E$3)</f>
        <v>15</v>
      </c>
      <c r="F7" s="1" t="n">
        <f aca="false">COUNTIF('Raw Data'!$D$2:$D$1001,$A7)-SUM(B7:E7)</f>
        <v>4</v>
      </c>
    </row>
    <row r="10" customFormat="false" ht="15" hidden="false" customHeight="true" outlineLevel="0" collapsed="false">
      <c r="A10" s="27" t="s">
        <v>1164</v>
      </c>
      <c r="B10" s="27" t="s">
        <v>13</v>
      </c>
      <c r="C10" s="27" t="s">
        <v>37</v>
      </c>
      <c r="D10" s="27" t="s">
        <v>21</v>
      </c>
      <c r="E10" s="27" t="s">
        <v>97</v>
      </c>
      <c r="F10" s="27" t="s">
        <v>1163</v>
      </c>
    </row>
    <row r="11" customFormat="false" ht="15" hidden="false" customHeight="true" outlineLevel="0" collapsed="false">
      <c r="A11" s="1" t="str">
        <f aca="false">A4</f>
        <v>Communications</v>
      </c>
      <c r="B11" s="1" t="n">
        <f aca="false">B4/SUM($B4:$F4)*100</f>
        <v>93.8920454545455</v>
      </c>
      <c r="C11" s="1" t="n">
        <f aca="false">C4/SUM($B4:$F4)*100</f>
        <v>1.98863636363636</v>
      </c>
      <c r="D11" s="1" t="n">
        <f aca="false">D4/SUM($B4:$F4)*100</f>
        <v>1.84659090909091</v>
      </c>
      <c r="E11" s="1" t="n">
        <f aca="false">E4/SUM($B4:$F4)*100</f>
        <v>0.568181818181818</v>
      </c>
      <c r="F11" s="1" t="n">
        <f aca="false">F4/SUM($B4:$F4)*100</f>
        <v>1.70454545454545</v>
      </c>
    </row>
    <row r="12" customFormat="false" ht="15" hidden="false" customHeight="true" outlineLevel="0" collapsed="false">
      <c r="A12" s="1" t="str">
        <f aca="false">A5</f>
        <v>Earth Observation</v>
      </c>
      <c r="B12" s="1" t="n">
        <f aca="false">B5/SUM($B5:$F5)*100</f>
        <v>53.448275862069</v>
      </c>
      <c r="C12" s="1" t="n">
        <f aca="false">C5/SUM($B5:$F5)*100</f>
        <v>21.8390804597701</v>
      </c>
      <c r="D12" s="1" t="n">
        <f aca="false">D5/SUM($B5:$F5)*100</f>
        <v>18.3908045977012</v>
      </c>
      <c r="E12" s="1" t="n">
        <f aca="false">E5/SUM($B5:$F5)*100</f>
        <v>2.8735632183908</v>
      </c>
      <c r="F12" s="1" t="n">
        <f aca="false">F5/SUM($B5:$F5)*100</f>
        <v>3.44827586206897</v>
      </c>
    </row>
    <row r="13" customFormat="false" ht="15" hidden="false" customHeight="true" outlineLevel="0" collapsed="false">
      <c r="A13" s="1" t="str">
        <f aca="false">A6</f>
        <v>Navigation/Global Positioning</v>
      </c>
      <c r="B13" s="1" t="n">
        <f aca="false">B6/SUM($B6:$F6)*100</f>
        <v>20</v>
      </c>
      <c r="C13" s="1" t="n">
        <f aca="false">C6/SUM($B6:$F6)*100</f>
        <v>0</v>
      </c>
      <c r="D13" s="1" t="n">
        <f aca="false">D6/SUM($B6:$F6)*100</f>
        <v>0</v>
      </c>
      <c r="E13" s="1" t="n">
        <f aca="false">E6/SUM($B6:$F6)*100</f>
        <v>0</v>
      </c>
      <c r="F13" s="1" t="n">
        <f aca="false">F6/SUM($B6:$F6)*100</f>
        <v>80</v>
      </c>
    </row>
    <row r="14" customFormat="false" ht="15" hidden="false" customHeight="true" outlineLevel="0" collapsed="false">
      <c r="A14" s="1" t="str">
        <f aca="false">A7</f>
        <v>Technology Development</v>
      </c>
      <c r="B14" s="1" t="n">
        <f aca="false">B7/SUM($B7:$F7)*100</f>
        <v>26.4150943396226</v>
      </c>
      <c r="C14" s="1" t="n">
        <f aca="false">C7/SUM($B7:$F7)*100</f>
        <v>16.9811320754717</v>
      </c>
      <c r="D14" s="1" t="n">
        <f aca="false">D7/SUM($B7:$F7)*100</f>
        <v>20.7547169811321</v>
      </c>
      <c r="E14" s="1" t="n">
        <f aca="false">E7/SUM($B7:$F7)*100</f>
        <v>28.3018867924528</v>
      </c>
      <c r="F14" s="1" t="n">
        <f aca="false">F7/SUM($B7:$F7)*100</f>
        <v>7.54716981132076</v>
      </c>
    </row>
    <row r="16" customFormat="false" ht="60" hidden="false" customHeight="true" outlineLevel="0" collapsed="false">
      <c r="A16" s="28" t="s">
        <v>1165</v>
      </c>
      <c r="B16" s="28"/>
      <c r="C16" s="28"/>
      <c r="D16" s="28"/>
      <c r="E16" s="28"/>
      <c r="F16" s="28"/>
    </row>
    <row r="21" customFormat="false" ht="15.75" hidden="false" customHeight="true" outlineLevel="0" collapsed="false"/>
    <row r="22" customFormat="false" ht="15.75" hidden="false" customHeight="true" outlineLevel="0" collapsed="false"/>
    <row r="23" customFormat="false" ht="15.75" hidden="false" customHeight="true" outlineLevel="0" collapsed="false"/>
    <row r="24" customFormat="false" ht="15.75" hidden="false" customHeight="true" outlineLevel="0" collapsed="false"/>
    <row r="25" customFormat="false" ht="15.75" hidden="false" customHeight="true" outlineLevel="0" collapsed="false"/>
    <row r="26" customFormat="false" ht="15.75" hidden="false" customHeight="true" outlineLevel="0" collapsed="false"/>
    <row r="27" customFormat="false" ht="15.75" hidden="false" customHeight="true" outlineLevel="0" collapsed="false"/>
    <row r="28" customFormat="false" ht="15.75" hidden="false" customHeight="true" outlineLevel="0" collapsed="false"/>
    <row r="29" customFormat="false" ht="15.75" hidden="false" customHeight="true" outlineLevel="0" collapsed="false"/>
    <row r="30" customFormat="false" ht="15.75" hidden="false" customHeight="true" outlineLevel="0" collapsed="false"/>
    <row r="31" customFormat="false" ht="15.75" hidden="false" customHeight="true" outlineLevel="0" collapsed="false"/>
    <row r="32" customFormat="false" ht="15.75" hidden="false" customHeight="true" outlineLevel="0" collapsed="false"/>
    <row r="33" customFormat="false" ht="15.75" hidden="false" customHeight="true" outlineLevel="0" collapsed="false"/>
    <row r="34" customFormat="false" ht="15.75" hidden="false" customHeight="true" outlineLevel="0" collapsed="false"/>
    <row r="35" customFormat="false" ht="15.75" hidden="false" customHeight="true" outlineLevel="0" collapsed="false"/>
    <row r="36" customFormat="false" ht="15.75" hidden="false" customHeight="true" outlineLevel="0" collapsed="false"/>
    <row r="37" customFormat="false" ht="15.75" hidden="false" customHeight="true" outlineLevel="0" collapsed="false"/>
    <row r="38" customFormat="false" ht="15.75" hidden="false" customHeight="true" outlineLevel="0" collapsed="false"/>
    <row r="39" customFormat="false" ht="15.75" hidden="false" customHeight="true" outlineLevel="0" collapsed="false"/>
    <row r="40" customFormat="false" ht="15.75" hidden="false" customHeight="true" outlineLevel="0" collapsed="false"/>
    <row r="41" customFormat="false" ht="15.75" hidden="false" customHeight="true" outlineLevel="0" collapsed="false"/>
    <row r="42" customFormat="false" ht="15.75" hidden="false" customHeight="true" outlineLevel="0" collapsed="false"/>
    <row r="43" customFormat="false" ht="15.75" hidden="false" customHeight="true" outlineLevel="0" collapsed="false"/>
    <row r="44" customFormat="false" ht="15.75" hidden="false" customHeight="true" outlineLevel="0" collapsed="false"/>
    <row r="45" customFormat="false" ht="15.75" hidden="false" customHeight="true" outlineLevel="0" collapsed="false"/>
    <row r="46" customFormat="false" ht="15.75" hidden="false" customHeight="true" outlineLevel="0" collapsed="false"/>
    <row r="47" customFormat="false" ht="15.75" hidden="false" customHeight="true" outlineLevel="0" collapsed="false"/>
    <row r="48" customFormat="false" ht="15.75" hidden="false" customHeight="true" outlineLevel="0" collapsed="false"/>
    <row r="49" customFormat="false" ht="15.75" hidden="false" customHeight="true" outlineLevel="0" collapsed="false"/>
    <row r="50" customFormat="false" ht="15.75" hidden="false" customHeight="true" outlineLevel="0" collapsed="false"/>
    <row r="51" customFormat="false" ht="15.75" hidden="false" customHeight="true" outlineLevel="0" collapsed="false"/>
    <row r="52" customFormat="false" ht="15.75" hidden="false" customHeight="true" outlineLevel="0" collapsed="false"/>
    <row r="53" customFormat="false" ht="15.75" hidden="false" customHeight="true" outlineLevel="0" collapsed="false"/>
    <row r="54" customFormat="false" ht="15.75" hidden="false" customHeight="true" outlineLevel="0" collapsed="false"/>
    <row r="55" customFormat="false" ht="15.75" hidden="false" customHeight="true" outlineLevel="0" collapsed="false"/>
    <row r="56" customFormat="false" ht="15.75" hidden="false" customHeight="true" outlineLevel="0" collapsed="false"/>
    <row r="57" customFormat="false" ht="15.75" hidden="false" customHeight="true" outlineLevel="0" collapsed="false"/>
    <row r="58" customFormat="false" ht="15.75" hidden="false" customHeight="true" outlineLevel="0" collapsed="false"/>
    <row r="59" customFormat="false" ht="15.75" hidden="false" customHeight="true" outlineLevel="0" collapsed="false"/>
    <row r="60" customFormat="false" ht="15.75" hidden="false" customHeight="true" outlineLevel="0" collapsed="false"/>
    <row r="61" customFormat="false" ht="15.75" hidden="false" customHeight="true" outlineLevel="0" collapsed="false"/>
    <row r="62" customFormat="false" ht="15.75" hidden="false" customHeight="true" outlineLevel="0" collapsed="false"/>
    <row r="63" customFormat="false" ht="15.75" hidden="false" customHeight="true" outlineLevel="0" collapsed="false"/>
    <row r="64" customFormat="false" ht="15.75" hidden="false" customHeight="true" outlineLevel="0" collapsed="false"/>
    <row r="65" customFormat="false" ht="15.75" hidden="false" customHeight="true" outlineLevel="0" collapsed="false"/>
    <row r="66" customFormat="false" ht="15.75" hidden="false" customHeight="true" outlineLevel="0" collapsed="false"/>
    <row r="67" customFormat="false" ht="15.75" hidden="false" customHeight="true" outlineLevel="0" collapsed="false"/>
    <row r="68" customFormat="false" ht="15.75" hidden="false" customHeight="true" outlineLevel="0" collapsed="false"/>
    <row r="69" customFormat="false" ht="15.75" hidden="false" customHeight="true" outlineLevel="0" collapsed="false"/>
    <row r="70" customFormat="false" ht="15.75" hidden="false" customHeight="true" outlineLevel="0" collapsed="false"/>
    <row r="71" customFormat="false" ht="15.75" hidden="false" customHeight="true" outlineLevel="0" collapsed="false"/>
    <row r="72" customFormat="false" ht="15.75" hidden="false" customHeight="true" outlineLevel="0" collapsed="false"/>
    <row r="73" customFormat="false" ht="15.75" hidden="false" customHeight="true" outlineLevel="0" collapsed="false"/>
    <row r="74" customFormat="false" ht="15.75" hidden="false" customHeight="true" outlineLevel="0" collapsed="false"/>
    <row r="75" customFormat="false" ht="15.75" hidden="false" customHeight="true" outlineLevel="0" collapsed="false"/>
    <row r="76" customFormat="false" ht="15.75" hidden="false" customHeight="true" outlineLevel="0" collapsed="false"/>
    <row r="77" customFormat="false" ht="15.75" hidden="false" customHeight="true" outlineLevel="0" collapsed="false"/>
    <row r="78" customFormat="false" ht="15.75" hidden="false" customHeight="true" outlineLevel="0" collapsed="false"/>
    <row r="79" customFormat="false" ht="15.75" hidden="false" customHeight="true" outlineLevel="0" collapsed="false"/>
    <row r="80" customFormat="false" ht="15.75" hidden="false" customHeight="true" outlineLevel="0" collapsed="false"/>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mergeCells count="2">
    <mergeCell ref="A1:F1"/>
    <mergeCell ref="A16:F16"/>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4.43359375" defaultRowHeight="15" zeroHeight="false" outlineLevelRow="0" outlineLevelCol="0"/>
  <cols>
    <col collapsed="false" customWidth="true" hidden="false" outlineLevel="0" max="26" min="1" style="1" width="8.71"/>
  </cols>
  <sheetData>
    <row r="1" customFormat="false" ht="15" hidden="false" customHeight="true" outlineLevel="0" collapsed="false">
      <c r="A1" s="26" t="s">
        <v>3</v>
      </c>
      <c r="B1" s="26" t="s">
        <v>13</v>
      </c>
      <c r="C1" s="26" t="s">
        <v>37</v>
      </c>
      <c r="D1" s="26" t="s">
        <v>21</v>
      </c>
      <c r="E1" s="26" t="s">
        <v>97</v>
      </c>
      <c r="F1" s="26" t="s">
        <v>1163</v>
      </c>
    </row>
    <row r="2" customFormat="false" ht="15" hidden="false" customHeight="true" outlineLevel="0" collapsed="false">
      <c r="A2" s="1" t="str">
        <f aca="false">'Categorical Association'!A11</f>
        <v>Communications</v>
      </c>
      <c r="B2" s="1" t="n">
        <f aca="false">'Categorical Association'!B11</f>
        <v>93.8920454545455</v>
      </c>
      <c r="C2" s="1" t="n">
        <f aca="false">'Categorical Association'!C11</f>
        <v>1.98863636363636</v>
      </c>
      <c r="D2" s="1" t="n">
        <f aca="false">'Categorical Association'!D11</f>
        <v>1.84659090909091</v>
      </c>
      <c r="E2" s="1" t="n">
        <f aca="false">'Categorical Association'!E11</f>
        <v>0.568181818181818</v>
      </c>
      <c r="F2" s="1" t="n">
        <f aca="false">'Categorical Association'!F11</f>
        <v>1.70454545454545</v>
      </c>
    </row>
    <row r="3" customFormat="false" ht="15" hidden="false" customHeight="true" outlineLevel="0" collapsed="false">
      <c r="A3" s="1" t="str">
        <f aca="false">'Categorical Association'!A12</f>
        <v>Earth Observation</v>
      </c>
      <c r="B3" s="1" t="n">
        <f aca="false">'Categorical Association'!B12</f>
        <v>53.448275862069</v>
      </c>
      <c r="C3" s="1" t="n">
        <f aca="false">'Categorical Association'!C12</f>
        <v>21.8390804597701</v>
      </c>
      <c r="D3" s="1" t="n">
        <f aca="false">'Categorical Association'!D12</f>
        <v>18.3908045977012</v>
      </c>
      <c r="E3" s="1" t="n">
        <f aca="false">'Categorical Association'!E12</f>
        <v>2.8735632183908</v>
      </c>
      <c r="F3" s="1" t="n">
        <f aca="false">'Categorical Association'!F12</f>
        <v>3.44827586206897</v>
      </c>
    </row>
    <row r="4" customFormat="false" ht="15" hidden="false" customHeight="true" outlineLevel="0" collapsed="false">
      <c r="A4" s="1" t="str">
        <f aca="false">'Categorical Association'!A13</f>
        <v>Navigation/Global Positioning</v>
      </c>
      <c r="B4" s="1" t="n">
        <f aca="false">'Categorical Association'!B13</f>
        <v>20</v>
      </c>
      <c r="C4" s="1" t="n">
        <f aca="false">'Categorical Association'!C13</f>
        <v>0</v>
      </c>
      <c r="D4" s="1" t="n">
        <f aca="false">'Categorical Association'!D13</f>
        <v>0</v>
      </c>
      <c r="E4" s="1" t="n">
        <f aca="false">'Categorical Association'!E13</f>
        <v>0</v>
      </c>
      <c r="F4" s="1" t="n">
        <f aca="false">'Categorical Association'!F13</f>
        <v>80</v>
      </c>
    </row>
    <row r="5" customFormat="false" ht="15" hidden="false" customHeight="true" outlineLevel="0" collapsed="false">
      <c r="A5" s="1" t="str">
        <f aca="false">'Categorical Association'!A14</f>
        <v>Technology Development</v>
      </c>
      <c r="B5" s="1" t="n">
        <f aca="false">'Categorical Association'!B14</f>
        <v>26.4150943396226</v>
      </c>
      <c r="C5" s="1" t="n">
        <f aca="false">'Categorical Association'!C14</f>
        <v>16.9811320754717</v>
      </c>
      <c r="D5" s="1" t="n">
        <f aca="false">'Categorical Association'!D14</f>
        <v>20.7547169811321</v>
      </c>
      <c r="E5" s="1" t="n">
        <f aca="false">'Categorical Association'!E14</f>
        <v>28.3018867924528</v>
      </c>
      <c r="F5" s="1" t="n">
        <f aca="false">'Categorical Association'!F14</f>
        <v>7.54716981132076</v>
      </c>
    </row>
    <row r="21" customFormat="false" ht="15.75" hidden="false" customHeight="true" outlineLevel="0" collapsed="false"/>
    <row r="22" customFormat="false" ht="15.75" hidden="false" customHeight="true" outlineLevel="0" collapsed="false"/>
    <row r="23" customFormat="false" ht="15.75" hidden="false" customHeight="true" outlineLevel="0" collapsed="false"/>
    <row r="24" customFormat="false" ht="15.75" hidden="false" customHeight="true" outlineLevel="0" collapsed="false"/>
    <row r="25" customFormat="false" ht="15.75" hidden="false" customHeight="true" outlineLevel="0" collapsed="false"/>
    <row r="26" customFormat="false" ht="15.75" hidden="false" customHeight="true" outlineLevel="0" collapsed="false"/>
    <row r="27" customFormat="false" ht="15.75" hidden="false" customHeight="true" outlineLevel="0" collapsed="false"/>
    <row r="28" customFormat="false" ht="15.75" hidden="false" customHeight="true" outlineLevel="0" collapsed="false"/>
    <row r="29" customFormat="false" ht="15.75" hidden="false" customHeight="true" outlineLevel="0" collapsed="false"/>
    <row r="30" customFormat="false" ht="15.75" hidden="false" customHeight="true" outlineLevel="0" collapsed="false"/>
    <row r="31" customFormat="false" ht="15.75" hidden="false" customHeight="true" outlineLevel="0" collapsed="false"/>
    <row r="32" customFormat="false" ht="15.75" hidden="false" customHeight="true" outlineLevel="0" collapsed="false"/>
    <row r="33" customFormat="false" ht="15.75" hidden="false" customHeight="true" outlineLevel="0" collapsed="false"/>
    <row r="34" customFormat="false" ht="15.75" hidden="false" customHeight="true" outlineLevel="0" collapsed="false"/>
    <row r="35" customFormat="false" ht="15.75" hidden="false" customHeight="true" outlineLevel="0" collapsed="false"/>
    <row r="36" customFormat="false" ht="15.75" hidden="false" customHeight="true" outlineLevel="0" collapsed="false"/>
    <row r="37" customFormat="false" ht="15.75" hidden="false" customHeight="true" outlineLevel="0" collapsed="false"/>
    <row r="38" customFormat="false" ht="15.75" hidden="false" customHeight="true" outlineLevel="0" collapsed="false"/>
    <row r="39" customFormat="false" ht="15.75" hidden="false" customHeight="true" outlineLevel="0" collapsed="false"/>
    <row r="40" customFormat="false" ht="15.75" hidden="false" customHeight="true" outlineLevel="0" collapsed="false"/>
    <row r="41" customFormat="false" ht="15.75" hidden="false" customHeight="true" outlineLevel="0" collapsed="false"/>
    <row r="42" customFormat="false" ht="15.75" hidden="false" customHeight="true" outlineLevel="0" collapsed="false"/>
    <row r="43" customFormat="false" ht="15.75" hidden="false" customHeight="true" outlineLevel="0" collapsed="false"/>
    <row r="44" customFormat="false" ht="15.75" hidden="false" customHeight="true" outlineLevel="0" collapsed="false"/>
    <row r="45" customFormat="false" ht="15.75" hidden="false" customHeight="true" outlineLevel="0" collapsed="false"/>
    <row r="46" customFormat="false" ht="15.75" hidden="false" customHeight="true" outlineLevel="0" collapsed="false"/>
    <row r="47" customFormat="false" ht="15.75" hidden="false" customHeight="true" outlineLevel="0" collapsed="false"/>
    <row r="48" customFormat="false" ht="15.75" hidden="false" customHeight="true" outlineLevel="0" collapsed="false"/>
    <row r="49" customFormat="false" ht="15.75" hidden="false" customHeight="true" outlineLevel="0" collapsed="false"/>
    <row r="50" customFormat="false" ht="15.75" hidden="false" customHeight="true" outlineLevel="0" collapsed="false"/>
    <row r="51" customFormat="false" ht="15.75" hidden="false" customHeight="true" outlineLevel="0" collapsed="false"/>
    <row r="52" customFormat="false" ht="15.75" hidden="false" customHeight="true" outlineLevel="0" collapsed="false"/>
    <row r="53" customFormat="false" ht="15.75" hidden="false" customHeight="true" outlineLevel="0" collapsed="false"/>
    <row r="54" customFormat="false" ht="15.75" hidden="false" customHeight="true" outlineLevel="0" collapsed="false"/>
    <row r="55" customFormat="false" ht="15.75" hidden="false" customHeight="true" outlineLevel="0" collapsed="false"/>
    <row r="56" customFormat="false" ht="15.75" hidden="false" customHeight="true" outlineLevel="0" collapsed="false"/>
    <row r="57" customFormat="false" ht="15.75" hidden="false" customHeight="true" outlineLevel="0" collapsed="false"/>
    <row r="58" customFormat="false" ht="15.75" hidden="false" customHeight="true" outlineLevel="0" collapsed="false"/>
    <row r="59" customFormat="false" ht="15.75" hidden="false" customHeight="true" outlineLevel="0" collapsed="false"/>
    <row r="60" customFormat="false" ht="15.75" hidden="false" customHeight="true" outlineLevel="0" collapsed="false"/>
    <row r="61" customFormat="false" ht="15.75" hidden="false" customHeight="true" outlineLevel="0" collapsed="false"/>
    <row r="62" customFormat="false" ht="15.75" hidden="false" customHeight="true" outlineLevel="0" collapsed="false"/>
    <row r="63" customFormat="false" ht="15.75" hidden="false" customHeight="true" outlineLevel="0" collapsed="false"/>
    <row r="64" customFormat="false" ht="15.75" hidden="false" customHeight="true" outlineLevel="0" collapsed="false"/>
    <row r="65" customFormat="false" ht="15.75" hidden="false" customHeight="true" outlineLevel="0" collapsed="false"/>
    <row r="66" customFormat="false" ht="15.75" hidden="false" customHeight="true" outlineLevel="0" collapsed="false"/>
    <row r="67" customFormat="false" ht="15.75" hidden="false" customHeight="true" outlineLevel="0" collapsed="false"/>
    <row r="68" customFormat="false" ht="15.75" hidden="false" customHeight="true" outlineLevel="0" collapsed="false"/>
    <row r="69" customFormat="false" ht="15.75" hidden="false" customHeight="true" outlineLevel="0" collapsed="false"/>
    <row r="70" customFormat="false" ht="15.75" hidden="false" customHeight="true" outlineLevel="0" collapsed="false"/>
    <row r="71" customFormat="false" ht="15.75" hidden="false" customHeight="true" outlineLevel="0" collapsed="false"/>
    <row r="72" customFormat="false" ht="15.75" hidden="false" customHeight="true" outlineLevel="0" collapsed="false"/>
    <row r="73" customFormat="false" ht="15.75" hidden="false" customHeight="true" outlineLevel="0" collapsed="false"/>
    <row r="74" customFormat="false" ht="15.75" hidden="false" customHeight="true" outlineLevel="0" collapsed="false"/>
    <row r="75" customFormat="false" ht="15.75" hidden="false" customHeight="true" outlineLevel="0" collapsed="false"/>
    <row r="76" customFormat="false" ht="15.75" hidden="false" customHeight="true" outlineLevel="0" collapsed="false"/>
    <row r="77" customFormat="false" ht="15.75" hidden="false" customHeight="true" outlineLevel="0" collapsed="false"/>
    <row r="78" customFormat="false" ht="15.75" hidden="false" customHeight="true" outlineLevel="0" collapsed="false"/>
    <row r="79" customFormat="false" ht="15.75" hidden="false" customHeight="true" outlineLevel="0" collapsed="false"/>
    <row r="80" customFormat="false" ht="15.75" hidden="false" customHeight="true" outlineLevel="0" collapsed="false"/>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drawing r:id="rId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4.43359375" defaultRowHeight="15" zeroHeight="false" outlineLevelRow="0" outlineLevelCol="0"/>
  <cols>
    <col collapsed="false" customWidth="true" hidden="false" outlineLevel="0" max="26" min="1" style="1" width="8.71"/>
  </cols>
  <sheetData>
    <row r="1" customFormat="false" ht="15" hidden="false" customHeight="true" outlineLevel="0" collapsed="false">
      <c r="A1" s="29" t="s">
        <v>1166</v>
      </c>
    </row>
    <row r="21" customFormat="false" ht="15.75" hidden="false" customHeight="true" outlineLevel="0" collapsed="false"/>
    <row r="22" customFormat="false" ht="15.75" hidden="false" customHeight="true" outlineLevel="0" collapsed="false"/>
    <row r="23" customFormat="false" ht="15.75" hidden="false" customHeight="true" outlineLevel="0" collapsed="false"/>
    <row r="24" customFormat="false" ht="15.75" hidden="false" customHeight="true" outlineLevel="0" collapsed="false"/>
    <row r="25" customFormat="false" ht="15.75" hidden="false" customHeight="true" outlineLevel="0" collapsed="false"/>
    <row r="26" customFormat="false" ht="15.75" hidden="false" customHeight="true" outlineLevel="0" collapsed="false"/>
    <row r="27" customFormat="false" ht="15.75" hidden="false" customHeight="true" outlineLevel="0" collapsed="false"/>
    <row r="28" customFormat="false" ht="15.75" hidden="false" customHeight="true" outlineLevel="0" collapsed="false"/>
    <row r="29" customFormat="false" ht="15.75" hidden="false" customHeight="true" outlineLevel="0" collapsed="false"/>
    <row r="30" customFormat="false" ht="15.75" hidden="false" customHeight="true" outlineLevel="0" collapsed="false">
      <c r="A30" s="30" t="s">
        <v>1167</v>
      </c>
    </row>
    <row r="31" customFormat="false" ht="109.5" hidden="false" customHeight="true" outlineLevel="0" collapsed="false">
      <c r="A31" s="31" t="s">
        <v>1168</v>
      </c>
      <c r="B31" s="31"/>
      <c r="C31" s="31"/>
      <c r="D31" s="31"/>
      <c r="E31" s="31"/>
      <c r="F31" s="31"/>
    </row>
    <row r="32" customFormat="false" ht="15.75" hidden="false" customHeight="true" outlineLevel="0" collapsed="false"/>
    <row r="33" customFormat="false" ht="15.75" hidden="false" customHeight="true" outlineLevel="0" collapsed="false"/>
    <row r="34" customFormat="false" ht="15.75" hidden="false" customHeight="true" outlineLevel="0" collapsed="false"/>
    <row r="35" customFormat="false" ht="15.75" hidden="false" customHeight="true" outlineLevel="0" collapsed="false"/>
    <row r="36" customFormat="false" ht="15.75" hidden="false" customHeight="true" outlineLevel="0" collapsed="false"/>
    <row r="37" customFormat="false" ht="15.75" hidden="false" customHeight="true" outlineLevel="0" collapsed="false"/>
    <row r="38" customFormat="false" ht="15.75" hidden="false" customHeight="true" outlineLevel="0" collapsed="false"/>
    <row r="39" customFormat="false" ht="15.75" hidden="false" customHeight="true" outlineLevel="0" collapsed="false"/>
    <row r="40" customFormat="false" ht="15.75" hidden="false" customHeight="true" outlineLevel="0" collapsed="false"/>
    <row r="41" customFormat="false" ht="15.75" hidden="false" customHeight="true" outlineLevel="0" collapsed="false"/>
    <row r="42" customFormat="false" ht="15.75" hidden="false" customHeight="true" outlineLevel="0" collapsed="false"/>
    <row r="43" customFormat="false" ht="15.75" hidden="false" customHeight="true" outlineLevel="0" collapsed="false"/>
    <row r="44" customFormat="false" ht="15.75" hidden="false" customHeight="true" outlineLevel="0" collapsed="false"/>
    <row r="45" customFormat="false" ht="15.75" hidden="false" customHeight="true" outlineLevel="0" collapsed="false"/>
    <row r="46" customFormat="false" ht="15.75" hidden="false" customHeight="true" outlineLevel="0" collapsed="false"/>
    <row r="47" customFormat="false" ht="15.75" hidden="false" customHeight="true" outlineLevel="0" collapsed="false"/>
    <row r="48" customFormat="false" ht="15.75" hidden="false" customHeight="true" outlineLevel="0" collapsed="false"/>
    <row r="49" customFormat="false" ht="15.75" hidden="false" customHeight="true" outlineLevel="0" collapsed="false"/>
    <row r="50" customFormat="false" ht="15.75" hidden="false" customHeight="true" outlineLevel="0" collapsed="false"/>
    <row r="51" customFormat="false" ht="15.75" hidden="false" customHeight="true" outlineLevel="0" collapsed="false"/>
    <row r="52" customFormat="false" ht="15.75" hidden="false" customHeight="true" outlineLevel="0" collapsed="false"/>
    <row r="53" customFormat="false" ht="15.75" hidden="false" customHeight="true" outlineLevel="0" collapsed="false"/>
    <row r="54" customFormat="false" ht="15.75" hidden="false" customHeight="true" outlineLevel="0" collapsed="false"/>
    <row r="55" customFormat="false" ht="15.75" hidden="false" customHeight="true" outlineLevel="0" collapsed="false"/>
    <row r="56" customFormat="false" ht="15.75" hidden="false" customHeight="true" outlineLevel="0" collapsed="false"/>
    <row r="57" customFormat="false" ht="15.75" hidden="false" customHeight="true" outlineLevel="0" collapsed="false"/>
    <row r="58" customFormat="false" ht="15.75" hidden="false" customHeight="true" outlineLevel="0" collapsed="false"/>
    <row r="59" customFormat="false" ht="15.75" hidden="false" customHeight="true" outlineLevel="0" collapsed="false"/>
    <row r="60" customFormat="false" ht="15.75" hidden="false" customHeight="true" outlineLevel="0" collapsed="false"/>
    <row r="61" customFormat="false" ht="15.75" hidden="false" customHeight="true" outlineLevel="0" collapsed="false"/>
    <row r="62" customFormat="false" ht="15.75" hidden="false" customHeight="true" outlineLevel="0" collapsed="false"/>
    <row r="63" customFormat="false" ht="15.75" hidden="false" customHeight="true" outlineLevel="0" collapsed="false"/>
    <row r="64" customFormat="false" ht="15.75" hidden="false" customHeight="true" outlineLevel="0" collapsed="false"/>
    <row r="65" customFormat="false" ht="15.75" hidden="false" customHeight="true" outlineLevel="0" collapsed="false"/>
    <row r="66" customFormat="false" ht="15.75" hidden="false" customHeight="true" outlineLevel="0" collapsed="false"/>
    <row r="67" customFormat="false" ht="15.75" hidden="false" customHeight="true" outlineLevel="0" collapsed="false"/>
    <row r="68" customFormat="false" ht="15.75" hidden="false" customHeight="true" outlineLevel="0" collapsed="false"/>
    <row r="69" customFormat="false" ht="15.75" hidden="false" customHeight="true" outlineLevel="0" collapsed="false"/>
    <row r="70" customFormat="false" ht="15.75" hidden="false" customHeight="true" outlineLevel="0" collapsed="false"/>
    <row r="71" customFormat="false" ht="15.75" hidden="false" customHeight="true" outlineLevel="0" collapsed="false"/>
    <row r="72" customFormat="false" ht="15.75" hidden="false" customHeight="true" outlineLevel="0" collapsed="false"/>
    <row r="73" customFormat="false" ht="15.75" hidden="false" customHeight="true" outlineLevel="0" collapsed="false"/>
    <row r="74" customFormat="false" ht="15.75" hidden="false" customHeight="true" outlineLevel="0" collapsed="false"/>
    <row r="75" customFormat="false" ht="15.75" hidden="false" customHeight="true" outlineLevel="0" collapsed="false"/>
    <row r="76" customFormat="false" ht="15.75" hidden="false" customHeight="true" outlineLevel="0" collapsed="false"/>
    <row r="77" customFormat="false" ht="15.75" hidden="false" customHeight="true" outlineLevel="0" collapsed="false"/>
    <row r="78" customFormat="false" ht="15.75" hidden="false" customHeight="true" outlineLevel="0" collapsed="false"/>
    <row r="79" customFormat="false" ht="15.75" hidden="false" customHeight="true" outlineLevel="0" collapsed="false"/>
    <row r="80" customFormat="false" ht="15.75" hidden="false" customHeight="true" outlineLevel="0" collapsed="false"/>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mergeCells count="1">
    <mergeCell ref="A31:F31"/>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drawing r:id="rId1"/>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4.43359375" defaultRowHeight="15" zeroHeight="false" outlineLevelRow="0" outlineLevelCol="0"/>
  <cols>
    <col collapsed="false" customWidth="true" hidden="false" outlineLevel="0" max="4" min="1" style="1" width="26"/>
    <col collapsed="false" customWidth="true" hidden="false" outlineLevel="0" max="26" min="5" style="1" width="8.71"/>
  </cols>
  <sheetData>
    <row r="1" customFormat="false" ht="15" hidden="false" customHeight="true" outlineLevel="0" collapsed="false">
      <c r="A1" s="5" t="s">
        <v>1169</v>
      </c>
      <c r="B1" s="5"/>
      <c r="C1" s="5"/>
      <c r="D1" s="5"/>
    </row>
    <row r="3" customFormat="false" ht="15" hidden="false" customHeight="true" outlineLevel="0" collapsed="false">
      <c r="A3" s="27" t="s">
        <v>1170</v>
      </c>
      <c r="B3" s="27" t="s">
        <v>1171</v>
      </c>
      <c r="C3" s="27"/>
      <c r="D3" s="27"/>
    </row>
    <row r="4" customFormat="false" ht="15" hidden="false" customHeight="true" outlineLevel="0" collapsed="false">
      <c r="A4" s="1" t="s">
        <v>1172</v>
      </c>
      <c r="B4" s="1" t="n">
        <f aca="false">SUMPRODUCT(--(ISNUMBER('Raw Data'!$E$2:$E$1001)),--(ISNUMBER('Raw Data'!$F$2:$F$1001)))</f>
        <v>999</v>
      </c>
    </row>
    <row r="5" customFormat="false" ht="15" hidden="false" customHeight="true" outlineLevel="0" collapsed="false">
      <c r="A5" s="1" t="s">
        <v>1173</v>
      </c>
      <c r="B5" s="1" t="n">
        <f aca="false">_xlfn.COVARIANCE.S('Raw Data'!$E$2:$E$1001,'Raw Data'!$F$2:$F$1001)</f>
        <v>120483722.416759</v>
      </c>
    </row>
    <row r="6" customFormat="false" ht="15" hidden="false" customHeight="true" outlineLevel="0" collapsed="false">
      <c r="A6" s="1" t="s">
        <v>1174</v>
      </c>
      <c r="B6" s="1" t="n">
        <f aca="false">CORREL('Raw Data'!$E$2:$E$1001,'Raw Data'!$F$2:$F$1001)</f>
        <v>0.620884415576217</v>
      </c>
    </row>
    <row r="7" customFormat="false" ht="109.5" hidden="false" customHeight="true" outlineLevel="0" collapsed="false">
      <c r="A7" s="28" t="s">
        <v>1175</v>
      </c>
      <c r="B7" s="28"/>
      <c r="C7" s="28"/>
      <c r="D7" s="28"/>
    </row>
    <row r="21" customFormat="false" ht="15.75" hidden="false" customHeight="true" outlineLevel="0" collapsed="false"/>
    <row r="22" customFormat="false" ht="15.75" hidden="false" customHeight="true" outlineLevel="0" collapsed="false"/>
    <row r="23" customFormat="false" ht="15.75" hidden="false" customHeight="true" outlineLevel="0" collapsed="false"/>
    <row r="24" customFormat="false" ht="15.75" hidden="false" customHeight="true" outlineLevel="0" collapsed="false"/>
    <row r="25" customFormat="false" ht="15.75" hidden="false" customHeight="true" outlineLevel="0" collapsed="false"/>
    <row r="26" customFormat="false" ht="15.75" hidden="false" customHeight="true" outlineLevel="0" collapsed="false"/>
    <row r="27" customFormat="false" ht="15.75" hidden="false" customHeight="true" outlineLevel="0" collapsed="false"/>
    <row r="28" customFormat="false" ht="15.75" hidden="false" customHeight="true" outlineLevel="0" collapsed="false"/>
    <row r="29" customFormat="false" ht="15.75" hidden="false" customHeight="true" outlineLevel="0" collapsed="false"/>
    <row r="30" customFormat="false" ht="15.75" hidden="false" customHeight="true" outlineLevel="0" collapsed="false"/>
    <row r="31" customFormat="false" ht="15.75" hidden="false" customHeight="true" outlineLevel="0" collapsed="false"/>
    <row r="32" customFormat="false" ht="15.75" hidden="false" customHeight="true" outlineLevel="0" collapsed="false"/>
    <row r="33" customFormat="false" ht="15.75" hidden="false" customHeight="true" outlineLevel="0" collapsed="false"/>
    <row r="34" customFormat="false" ht="15.75" hidden="false" customHeight="true" outlineLevel="0" collapsed="false"/>
    <row r="35" customFormat="false" ht="15.75" hidden="false" customHeight="true" outlineLevel="0" collapsed="false"/>
    <row r="36" customFormat="false" ht="15.75" hidden="false" customHeight="true" outlineLevel="0" collapsed="false"/>
    <row r="37" customFormat="false" ht="15.75" hidden="false" customHeight="true" outlineLevel="0" collapsed="false"/>
    <row r="38" customFormat="false" ht="15.75" hidden="false" customHeight="true" outlineLevel="0" collapsed="false"/>
    <row r="39" customFormat="false" ht="15.75" hidden="false" customHeight="true" outlineLevel="0" collapsed="false"/>
    <row r="40" customFormat="false" ht="15.75" hidden="false" customHeight="true" outlineLevel="0" collapsed="false"/>
    <row r="41" customFormat="false" ht="15.75" hidden="false" customHeight="true" outlineLevel="0" collapsed="false"/>
    <row r="42" customFormat="false" ht="15.75" hidden="false" customHeight="true" outlineLevel="0" collapsed="false"/>
    <row r="43" customFormat="false" ht="15.75" hidden="false" customHeight="true" outlineLevel="0" collapsed="false"/>
    <row r="44" customFormat="false" ht="15.75" hidden="false" customHeight="true" outlineLevel="0" collapsed="false"/>
    <row r="45" customFormat="false" ht="15.75" hidden="false" customHeight="true" outlineLevel="0" collapsed="false"/>
    <row r="46" customFormat="false" ht="15.75" hidden="false" customHeight="true" outlineLevel="0" collapsed="false"/>
    <row r="47" customFormat="false" ht="15.75" hidden="false" customHeight="true" outlineLevel="0" collapsed="false"/>
    <row r="48" customFormat="false" ht="15.75" hidden="false" customHeight="true" outlineLevel="0" collapsed="false"/>
    <row r="49" customFormat="false" ht="15.75" hidden="false" customHeight="true" outlineLevel="0" collapsed="false"/>
    <row r="50" customFormat="false" ht="15.75" hidden="false" customHeight="true" outlineLevel="0" collapsed="false"/>
    <row r="51" customFormat="false" ht="15.75" hidden="false" customHeight="true" outlineLevel="0" collapsed="false"/>
    <row r="52" customFormat="false" ht="15.75" hidden="false" customHeight="true" outlineLevel="0" collapsed="false"/>
    <row r="53" customFormat="false" ht="15.75" hidden="false" customHeight="true" outlineLevel="0" collapsed="false"/>
    <row r="54" customFormat="false" ht="15.75" hidden="false" customHeight="true" outlineLevel="0" collapsed="false"/>
    <row r="55" customFormat="false" ht="15.75" hidden="false" customHeight="true" outlineLevel="0" collapsed="false"/>
    <row r="56" customFormat="false" ht="15.75" hidden="false" customHeight="true" outlineLevel="0" collapsed="false"/>
    <row r="57" customFormat="false" ht="15.75" hidden="false" customHeight="true" outlineLevel="0" collapsed="false"/>
    <row r="58" customFormat="false" ht="15.75" hidden="false" customHeight="true" outlineLevel="0" collapsed="false"/>
    <row r="59" customFormat="false" ht="15.75" hidden="false" customHeight="true" outlineLevel="0" collapsed="false"/>
    <row r="60" customFormat="false" ht="15.75" hidden="false" customHeight="true" outlineLevel="0" collapsed="false"/>
    <row r="61" customFormat="false" ht="15.75" hidden="false" customHeight="true" outlineLevel="0" collapsed="false"/>
    <row r="62" customFormat="false" ht="15.75" hidden="false" customHeight="true" outlineLevel="0" collapsed="false"/>
    <row r="63" customFormat="false" ht="15.75" hidden="false" customHeight="true" outlineLevel="0" collapsed="false"/>
    <row r="64" customFormat="false" ht="15.75" hidden="false" customHeight="true" outlineLevel="0" collapsed="false"/>
    <row r="65" customFormat="false" ht="15.75" hidden="false" customHeight="true" outlineLevel="0" collapsed="false"/>
    <row r="66" customFormat="false" ht="15.75" hidden="false" customHeight="true" outlineLevel="0" collapsed="false"/>
    <row r="67" customFormat="false" ht="15.75" hidden="false" customHeight="true" outlineLevel="0" collapsed="false"/>
    <row r="68" customFormat="false" ht="15.75" hidden="false" customHeight="true" outlineLevel="0" collapsed="false"/>
    <row r="69" customFormat="false" ht="15.75" hidden="false" customHeight="true" outlineLevel="0" collapsed="false"/>
    <row r="70" customFormat="false" ht="15.75" hidden="false" customHeight="true" outlineLevel="0" collapsed="false"/>
    <row r="71" customFormat="false" ht="15.75" hidden="false" customHeight="true" outlineLevel="0" collapsed="false"/>
    <row r="72" customFormat="false" ht="15.75" hidden="false" customHeight="true" outlineLevel="0" collapsed="false"/>
    <row r="73" customFormat="false" ht="15.75" hidden="false" customHeight="true" outlineLevel="0" collapsed="false"/>
    <row r="74" customFormat="false" ht="15.75" hidden="false" customHeight="true" outlineLevel="0" collapsed="false"/>
    <row r="75" customFormat="false" ht="15.75" hidden="false" customHeight="true" outlineLevel="0" collapsed="false"/>
    <row r="76" customFormat="false" ht="15.75" hidden="false" customHeight="true" outlineLevel="0" collapsed="false"/>
    <row r="77" customFormat="false" ht="15.75" hidden="false" customHeight="true" outlineLevel="0" collapsed="false"/>
    <row r="78" customFormat="false" ht="15.75" hidden="false" customHeight="true" outlineLevel="0" collapsed="false"/>
    <row r="79" customFormat="false" ht="15.75" hidden="false" customHeight="true" outlineLevel="0" collapsed="false"/>
    <row r="80" customFormat="false" ht="15.75" hidden="false" customHeight="true" outlineLevel="0" collapsed="false"/>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mergeCells count="2">
    <mergeCell ref="A1:D1"/>
    <mergeCell ref="A7:D7"/>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2026-08-07T07:40:00Z</dcterms:created>
  <dc:creator>openpyxl</dc:creator>
  <dc:description/>
  <dc:language>en-US</dc:language>
  <cp:lastModifiedBy/>
  <dcterms:modified xsi:type="dcterms:W3CDTF">2026-08-07T09:52:20Z</dcterms:modified>
  <cp:revision>7</cp:revision>
  <dc:subject/>
  <dc:title/>
</cp:coreProperties>
</file>

<file path=docProps/custom.xml><?xml version="1.0" encoding="utf-8"?>
<Properties xmlns="http://schemas.openxmlformats.org/officeDocument/2006/custom-properties" xmlns:vt="http://schemas.openxmlformats.org/officeDocument/2006/docPropsVTypes"/>
</file>